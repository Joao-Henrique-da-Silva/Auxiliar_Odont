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oque" sheetId="1" r:id="rId4"/>
    <sheet state="visible" name="Movimentações" sheetId="2" r:id="rId5"/>
    <sheet state="visible" name="Dashboard" sheetId="3" r:id="rId6"/>
    <sheet state="visible" name="Listas" sheetId="4" r:id="rId7"/>
  </sheets>
  <definedNames>
    <definedName hidden="1" localSheetId="0" name="_xlnm._FilterDatabase">Estoque!$A$1:$F$501</definedName>
    <definedName hidden="1" localSheetId="1" name="_xlnm._FilterDatabase">'Movimentações'!$A$1:$F$1001</definedName>
  </definedNames>
  <calcPr/>
  <extLst>
    <ext uri="GoogleSheetsCustomDataVersion2">
      <go:sheetsCustomData xmlns:go="http://customooxmlschemas.google.com/" r:id="rId8" roundtripDataChecksum="Ofw61nSH08qv366jMCZipnuOam/2/D88tIm8sDevWig="/>
    </ext>
  </extLst>
</workbook>
</file>

<file path=xl/sharedStrings.xml><?xml version="1.0" encoding="utf-8"?>
<sst xmlns="http://schemas.openxmlformats.org/spreadsheetml/2006/main" count="368" uniqueCount="252">
  <si>
    <t>Código</t>
  </si>
  <si>
    <t>Data</t>
  </si>
  <si>
    <t>Tipo de movimentação</t>
  </si>
  <si>
    <t>Nome do item</t>
  </si>
  <si>
    <t>Tipo</t>
  </si>
  <si>
    <t>Unidade</t>
  </si>
  <si>
    <t>Estoque inicial</t>
  </si>
  <si>
    <t>Item</t>
  </si>
  <si>
    <t>Quantidade</t>
  </si>
  <si>
    <t>Quantidade atual</t>
  </si>
  <si>
    <t>Observação</t>
  </si>
  <si>
    <t>Códigos</t>
  </si>
  <si>
    <t>Entrada</t>
  </si>
  <si>
    <t>Estoque mínimo</t>
  </si>
  <si>
    <t>Status</t>
  </si>
  <si>
    <t>Saída</t>
  </si>
  <si>
    <t>1- Dentistica</t>
  </si>
  <si>
    <t>01-001</t>
  </si>
  <si>
    <t>01-003</t>
  </si>
  <si>
    <t>Caixa</t>
  </si>
  <si>
    <t>2- Cirurgia</t>
  </si>
  <si>
    <t>Microbrush</t>
  </si>
  <si>
    <t>Pacote</t>
  </si>
  <si>
    <t>3- Perio</t>
  </si>
  <si>
    <t>Litro</t>
  </si>
  <si>
    <t>4- Endo</t>
  </si>
  <si>
    <t>Tubos</t>
  </si>
  <si>
    <t>Quilograma</t>
  </si>
  <si>
    <t>5- Consumiveis</t>
  </si>
  <si>
    <t>Metro</t>
  </si>
  <si>
    <t>6- Prótese</t>
  </si>
  <si>
    <t>Frasco</t>
  </si>
  <si>
    <t>7- Instrumental</t>
  </si>
  <si>
    <t>Par</t>
  </si>
  <si>
    <t>Rolo</t>
  </si>
  <si>
    <t>Outro</t>
  </si>
  <si>
    <t>05-009</t>
  </si>
  <si>
    <t>05-026</t>
  </si>
  <si>
    <t>01-002</t>
  </si>
  <si>
    <t>Adesivo Universal</t>
  </si>
  <si>
    <t>05-023</t>
  </si>
  <si>
    <t>05-024</t>
  </si>
  <si>
    <t>Ácido Fosfórico 37%</t>
  </si>
  <si>
    <t>05-017</t>
  </si>
  <si>
    <t>01-004</t>
  </si>
  <si>
    <t>Ionômero de Vidro</t>
  </si>
  <si>
    <t>05-025</t>
  </si>
  <si>
    <t>01-005</t>
  </si>
  <si>
    <t>Benzotop</t>
  </si>
  <si>
    <t>01-006</t>
  </si>
  <si>
    <t>Cimento reparador MTA (2 aplicações)</t>
  </si>
  <si>
    <t>01-007</t>
  </si>
  <si>
    <t>Cimento de hidróxido de cálcio (Dentística)</t>
  </si>
  <si>
    <t>01-008</t>
  </si>
  <si>
    <t>Banda matriz aço 7 mm</t>
  </si>
  <si>
    <t>DASHBOARD DE ESTOQUE</t>
  </si>
  <si>
    <t>01-009</t>
  </si>
  <si>
    <t>Banda matriz aço 5 mm</t>
  </si>
  <si>
    <t>Total de itens</t>
  </si>
  <si>
    <t>🟢 Estoque normal</t>
  </si>
  <si>
    <t>🟡 Em atenção</t>
  </si>
  <si>
    <t>01-010</t>
  </si>
  <si>
    <t>Inter-A (material restaurador intermediário)</t>
  </si>
  <si>
    <t>🔴 Repor</t>
  </si>
  <si>
    <t>01-011</t>
  </si>
  <si>
    <t>Coroa Hable adulto</t>
  </si>
  <si>
    <t>01-012</t>
  </si>
  <si>
    <t>Coroa Hable pediátrica</t>
  </si>
  <si>
    <t>Normal</t>
  </si>
  <si>
    <t>01-013</t>
  </si>
  <si>
    <t>Resina composta A1E</t>
  </si>
  <si>
    <t>Atenção</t>
  </si>
  <si>
    <t>Repor</t>
  </si>
  <si>
    <t>01-014</t>
  </si>
  <si>
    <t>Resina composta A2E</t>
  </si>
  <si>
    <t>Mês</t>
  </si>
  <si>
    <t>Entradas</t>
  </si>
  <si>
    <t>Saídas</t>
  </si>
  <si>
    <t>Jan</t>
  </si>
  <si>
    <t>01-015</t>
  </si>
  <si>
    <t>Resina composta A3E</t>
  </si>
  <si>
    <t>01-016</t>
  </si>
  <si>
    <t>Resina composta A1B</t>
  </si>
  <si>
    <t>Fev</t>
  </si>
  <si>
    <t>01-017</t>
  </si>
  <si>
    <t>Resina composta A2B</t>
  </si>
  <si>
    <t>Mar</t>
  </si>
  <si>
    <t>01-018</t>
  </si>
  <si>
    <t>Resina composta A3B</t>
  </si>
  <si>
    <t>01-019</t>
  </si>
  <si>
    <t>Resina composta A3.5B</t>
  </si>
  <si>
    <t>Abr</t>
  </si>
  <si>
    <t>01-020</t>
  </si>
  <si>
    <t>Forrador Dentinário Liner</t>
  </si>
  <si>
    <t>01-021</t>
  </si>
  <si>
    <t>Discos de lixa P/M/G com mandril</t>
  </si>
  <si>
    <t>01-022</t>
  </si>
  <si>
    <t>Disco de lixa M com mandril</t>
  </si>
  <si>
    <t>Mai</t>
  </si>
  <si>
    <t>01-023</t>
  </si>
  <si>
    <t>Bloco de papel p/ espatulação</t>
  </si>
  <si>
    <t>Bloco</t>
  </si>
  <si>
    <t>01-024</t>
  </si>
  <si>
    <t>Arco Young plástico</t>
  </si>
  <si>
    <t>Jun</t>
  </si>
  <si>
    <t>01-025</t>
  </si>
  <si>
    <t>Fio dental</t>
  </si>
  <si>
    <t>01-026</t>
  </si>
  <si>
    <t>Disco de lixa superfino s/ mandril</t>
  </si>
  <si>
    <t>01-027</t>
  </si>
  <si>
    <t>Disco de lixa grosso s/ mandril</t>
  </si>
  <si>
    <t>Jul</t>
  </si>
  <si>
    <t>01-028</t>
  </si>
  <si>
    <t>Tira de poliéster p/ acabamento</t>
  </si>
  <si>
    <t>01-029</t>
  </si>
  <si>
    <t>Tira de poliéster transparente</t>
  </si>
  <si>
    <t>01-030</t>
  </si>
  <si>
    <t>Ago</t>
  </si>
  <si>
    <t>Cunha de madeira</t>
  </si>
  <si>
    <t>01-031</t>
  </si>
  <si>
    <t>Papel carbono</t>
  </si>
  <si>
    <t>01-032</t>
  </si>
  <si>
    <t>Set</t>
  </si>
  <si>
    <t>Fio retrator</t>
  </si>
  <si>
    <t>02-001</t>
  </si>
  <si>
    <t>Esponja Hemostática</t>
  </si>
  <si>
    <t>02-002</t>
  </si>
  <si>
    <t>Líquido Hemostático</t>
  </si>
  <si>
    <t>Out</t>
  </si>
  <si>
    <t>02-003</t>
  </si>
  <si>
    <t>Lâmina de bisturi</t>
  </si>
  <si>
    <t>02-004</t>
  </si>
  <si>
    <t>Agulha 22 G (preta)</t>
  </si>
  <si>
    <t>Nov</t>
  </si>
  <si>
    <t>02-005</t>
  </si>
  <si>
    <t>Fio de sutura</t>
  </si>
  <si>
    <t>03-001</t>
  </si>
  <si>
    <t>Bicarbonato de sódio</t>
  </si>
  <si>
    <t>Dez</t>
  </si>
  <si>
    <t>04-001</t>
  </si>
  <si>
    <t>NDP</t>
  </si>
  <si>
    <t>04-002</t>
  </si>
  <si>
    <t>PRP</t>
  </si>
  <si>
    <t>04-003</t>
  </si>
  <si>
    <t>Eucaliptol</t>
  </si>
  <si>
    <t>04-004</t>
  </si>
  <si>
    <t>Itens que precisam de reposição</t>
  </si>
  <si>
    <t>Lençol de borracha</t>
  </si>
  <si>
    <t>Mínimo</t>
  </si>
  <si>
    <t>04-005</t>
  </si>
  <si>
    <t>Formocresol</t>
  </si>
  <si>
    <t>04-006</t>
  </si>
  <si>
    <t>Cone de papel absorvente 45-80</t>
  </si>
  <si>
    <t>04-007</t>
  </si>
  <si>
    <t>Cone de papel absorvente 15</t>
  </si>
  <si>
    <t>04-008</t>
  </si>
  <si>
    <t>Cone de papel absorvente 20</t>
  </si>
  <si>
    <t>04-009</t>
  </si>
  <si>
    <t>Cone de papel absorvente 25</t>
  </si>
  <si>
    <t>04-010</t>
  </si>
  <si>
    <t>Cone de papel absorvente 30</t>
  </si>
  <si>
    <t>04-011</t>
  </si>
  <si>
    <t>Cone de papel absorvente 35</t>
  </si>
  <si>
    <t>04-012</t>
  </si>
  <si>
    <t>Cone de papel absorvente 60</t>
  </si>
  <si>
    <t>04-013</t>
  </si>
  <si>
    <t>Cone de papel absorvente 80</t>
  </si>
  <si>
    <t>05-001</t>
  </si>
  <si>
    <t>Agulha curta</t>
  </si>
  <si>
    <t>05-002</t>
  </si>
  <si>
    <t>Filmes radiográficos</t>
  </si>
  <si>
    <t>05-003</t>
  </si>
  <si>
    <t>Sugador cirúrgico</t>
  </si>
  <si>
    <t>05-004</t>
  </si>
  <si>
    <t>Caixa descarpack pequena 3 L</t>
  </si>
  <si>
    <t>05-005</t>
  </si>
  <si>
    <t>Touca descartável</t>
  </si>
  <si>
    <t>05-006</t>
  </si>
  <si>
    <t>Máscara N95</t>
  </si>
  <si>
    <t>05-007</t>
  </si>
  <si>
    <t>Máscara descartável</t>
  </si>
  <si>
    <t>05-008</t>
  </si>
  <si>
    <t>Avental cirúrgico</t>
  </si>
  <si>
    <t>Avental de TNT</t>
  </si>
  <si>
    <t>05-010</t>
  </si>
  <si>
    <t>Avental de plástico</t>
  </si>
  <si>
    <t>05-011</t>
  </si>
  <si>
    <t>Rolete de algodão</t>
  </si>
  <si>
    <t>05-012</t>
  </si>
  <si>
    <t>Sugador</t>
  </si>
  <si>
    <t>05-013</t>
  </si>
  <si>
    <t>Seringa 10 mL</t>
  </si>
  <si>
    <t>05-014</t>
  </si>
  <si>
    <t>Saco Geladinho</t>
  </si>
  <si>
    <t>05-015</t>
  </si>
  <si>
    <t>Papel grau cirúrgico 150 mm</t>
  </si>
  <si>
    <t>05-016</t>
  </si>
  <si>
    <t>Papel grau cirúrgico 200 mm</t>
  </si>
  <si>
    <t>Álcool 70%</t>
  </si>
  <si>
    <t>05-018</t>
  </si>
  <si>
    <t>Revelador</t>
  </si>
  <si>
    <t>05-019</t>
  </si>
  <si>
    <t>Fixador</t>
  </si>
  <si>
    <t>05-020</t>
  </si>
  <si>
    <t>Álcool em gel</t>
  </si>
  <si>
    <t>05-021</t>
  </si>
  <si>
    <t>Detergente enzimático</t>
  </si>
  <si>
    <t>05-022</t>
  </si>
  <si>
    <t>Hipoclorito de sódio 2,5%</t>
  </si>
  <si>
    <t>Guardanapo</t>
  </si>
  <si>
    <t>Água destilada</t>
  </si>
  <si>
    <t>Galão</t>
  </si>
  <si>
    <t>Babador</t>
  </si>
  <si>
    <t>Gaze</t>
  </si>
  <si>
    <t>05-027</t>
  </si>
  <si>
    <t>Flúor 2%</t>
  </si>
  <si>
    <t>05-028</t>
  </si>
  <si>
    <t>Flúor 1,23%</t>
  </si>
  <si>
    <t>05-029</t>
  </si>
  <si>
    <t>Clorexidina 2% (lavar mãos)</t>
  </si>
  <si>
    <t>05-030</t>
  </si>
  <si>
    <t>Anestésico Prilocaína</t>
  </si>
  <si>
    <t>05-031</t>
  </si>
  <si>
    <t>Anestésico Lidocaína</t>
  </si>
  <si>
    <t>05-032</t>
  </si>
  <si>
    <t>Anestésico Mepivacaína</t>
  </si>
  <si>
    <t>05-033</t>
  </si>
  <si>
    <t>Anestésico Articaína</t>
  </si>
  <si>
    <t>05-034</t>
  </si>
  <si>
    <t>Fita adesiva autoclavavél</t>
  </si>
  <si>
    <t>05-035</t>
  </si>
  <si>
    <t>Agulha longa</t>
  </si>
  <si>
    <t>06-001</t>
  </si>
  <si>
    <t>Cimento resinoso (prótese) Dual</t>
  </si>
  <si>
    <t>06-002</t>
  </si>
  <si>
    <t>Pote Dappen plástico/silicone</t>
  </si>
  <si>
    <t>06-003</t>
  </si>
  <si>
    <t>Eugenol</t>
  </si>
  <si>
    <t>07-001</t>
  </si>
  <si>
    <t>Jacarés</t>
  </si>
  <si>
    <t>07-002</t>
  </si>
  <si>
    <t>Sonda exploradora nº 5</t>
  </si>
  <si>
    <t>07-003</t>
  </si>
  <si>
    <t>Espátula p/ resina Ward</t>
  </si>
  <si>
    <t>07-004</t>
  </si>
  <si>
    <t>Sonda Carolina do Norte</t>
  </si>
  <si>
    <t>07-005</t>
  </si>
  <si>
    <t>Tesoura Goldmann Fox</t>
  </si>
  <si>
    <t>07-006</t>
  </si>
  <si>
    <t>Cabo p/ espelho</t>
  </si>
  <si>
    <t>07-007</t>
  </si>
  <si>
    <t>Espelho nº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</si>
</sst>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20.0"/>
      <color theme="1"/>
      <name val="Calibri"/>
      <scheme val="minor"/>
    </font>
    <font/>
    <font>
      <b/>
      <sz val="18.0"/>
      <color theme="1"/>
      <name val="Calibri"/>
      <scheme val="minor"/>
    </font>
    <font>
      <b/>
      <sz val="1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Border="1" applyFill="1" applyFont="1"/>
    <xf borderId="2" fillId="2" fontId="1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right" vertical="bottom"/>
    </xf>
    <xf borderId="3" fillId="2" fontId="1" numFmtId="0" xfId="0" applyAlignment="1" applyBorder="1" applyFill="1" applyFont="1">
      <alignment horizontal="center"/>
    </xf>
    <xf borderId="4" fillId="0" fontId="5" numFmtId="0" xfId="0" applyBorder="1" applyFont="1"/>
    <xf borderId="2" fillId="2" fontId="1" numFmtId="0" xfId="0" applyAlignment="1" applyBorder="1" applyFill="1" applyFont="1">
      <alignment horizontal="center"/>
    </xf>
    <xf borderId="0" fillId="0" fontId="6" numFmtId="0" xfId="0" applyAlignment="1" applyFont="1">
      <alignment horizontal="center"/>
    </xf>
    <xf borderId="1" fillId="2" fontId="1" numFmtId="0" xfId="0" applyBorder="1" applyFill="1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7" numFmtId="0" xfId="0" applyFont="1"/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Situação do estoque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Dashboard!$B$7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Dashboard!$A$8:$A$10</c:f>
            </c:strRef>
          </c:cat>
          <c:val>
            <c:numRef>
              <c:f>Dashboard!$B$8:$B$10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266700</xdr:colOff>
      <xdr:row>8</xdr:row>
      <xdr:rowOff>114300</xdr:rowOff>
    </xdr:from>
    <xdr:ext cx="3476625" cy="2457450"/>
    <xdr:graphicFrame>
      <xdr:nvGraphicFramePr>
        <xdr:cNvPr id="59347900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9.71"/>
    <col customWidth="1" min="3" max="3" width="18.14"/>
    <col customWidth="1" hidden="1" min="4" max="4" width="18.0"/>
    <col customWidth="1" min="5" max="5" width="19.14"/>
    <col customWidth="1" min="6" max="6" width="18.0"/>
    <col customWidth="1" min="7" max="7" width="15.0"/>
    <col customWidth="1" min="8" max="26" width="8.71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9</v>
      </c>
      <c r="F1" s="1" t="s">
        <v>13</v>
      </c>
      <c r="G1" s="1" t="s">
        <v>14</v>
      </c>
    </row>
    <row r="2">
      <c r="A2" s="7" t="s">
        <v>17</v>
      </c>
      <c r="B2" s="7" t="s">
        <v>21</v>
      </c>
      <c r="C2" s="7" t="s">
        <v>26</v>
      </c>
      <c r="D2" s="7">
        <v>20.0</v>
      </c>
      <c r="E2" s="8">
        <f>IF(A2="","",D2+SUMIFS('Movimentações'!$E$2:$E1000,'Movimentações'!$C$2:$C1000,A2,'Movimentações'!$B$2:$B1000,"Entrada")-SUMIFS('Movimentações'!$E$2:$E1000,'Movimentações'!$C$2:$C1000,A2,'Movimentações'!$B$2:$B1000,"Saída"))</f>
        <v>20</v>
      </c>
      <c r="F2" s="7">
        <v>5.0</v>
      </c>
      <c r="G2" s="8" t="str">
        <f t="shared" ref="G2:G501" si="1">IF(A2="","",IF(E2&lt;F2,"🔴 REPOR",IF(E2=F2,"🟡 ATENÇÃO","🟢 NORMAL")))</f>
        <v>🟢 NORMAL</v>
      </c>
    </row>
    <row r="3">
      <c r="A3" s="7" t="s">
        <v>38</v>
      </c>
      <c r="B3" s="7" t="s">
        <v>39</v>
      </c>
      <c r="C3" s="7" t="s">
        <v>26</v>
      </c>
      <c r="D3" s="7">
        <v>3.0</v>
      </c>
      <c r="E3" s="8">
        <f>IF(A3="","",D3+SUMIFS('Movimentações'!$E$2:$E1000,'Movimentações'!$C$2:$C1000,A3,'Movimentações'!$B$2:$B1000,"Entrada")-SUMIFS('Movimentações'!$E$2:$E1000,'Movimentações'!$C$2:$C1000,A3,'Movimentações'!$B$2:$B1000,"Saída"))</f>
        <v>3</v>
      </c>
      <c r="F3" s="7">
        <v>2.0</v>
      </c>
      <c r="G3" s="8" t="str">
        <f t="shared" si="1"/>
        <v>🟢 NORMAL</v>
      </c>
    </row>
    <row r="4">
      <c r="A4" s="7" t="s">
        <v>18</v>
      </c>
      <c r="B4" s="7" t="s">
        <v>42</v>
      </c>
      <c r="C4" s="7" t="s">
        <v>26</v>
      </c>
      <c r="D4" s="7">
        <v>1.0</v>
      </c>
      <c r="E4" s="8">
        <f>IF(A4="","",D4+SUMIFS('Movimentações'!$E$2:$E1000,'Movimentações'!$C$2:$C1000,A4,'Movimentações'!$B$2:$B1000,"Entrada")-SUMIFS('Movimentações'!$E$2:$E1000,'Movimentações'!$C$2:$C1000,A4,'Movimentações'!$B$2:$B1000,"Saída"))</f>
        <v>0</v>
      </c>
      <c r="F4" s="7">
        <v>8.0</v>
      </c>
      <c r="G4" s="8" t="str">
        <f t="shared" si="1"/>
        <v>🔴 REPOR</v>
      </c>
    </row>
    <row r="5">
      <c r="A5" s="7" t="s">
        <v>44</v>
      </c>
      <c r="B5" s="7" t="s">
        <v>45</v>
      </c>
      <c r="C5" s="7" t="s">
        <v>31</v>
      </c>
      <c r="D5" s="7">
        <v>3.0</v>
      </c>
      <c r="E5" s="8">
        <f>IF(A5="","",D5+SUMIFS('Movimentações'!$E$2:$E1000,'Movimentações'!$C$2:$C1000,A5,'Movimentações'!$B$2:$B1000,"Entrada")-SUMIFS('Movimentações'!$E$2:$E1000,'Movimentações'!$C$2:$C1000,A5,'Movimentações'!$B$2:$B1000,"Saída"))</f>
        <v>3</v>
      </c>
      <c r="F5" s="7">
        <v>4.0</v>
      </c>
      <c r="G5" s="8" t="str">
        <f t="shared" si="1"/>
        <v>🔴 REPOR</v>
      </c>
    </row>
    <row r="6">
      <c r="A6" s="7" t="s">
        <v>47</v>
      </c>
      <c r="B6" s="7" t="s">
        <v>48</v>
      </c>
      <c r="C6" s="7" t="s">
        <v>31</v>
      </c>
      <c r="D6" s="7">
        <v>4.0</v>
      </c>
      <c r="E6" s="8">
        <f>IF(A6="","",D6+SUMIFS('Movimentações'!$E$2:$E1000,'Movimentações'!$C$2:$C1000,A6,'Movimentações'!$B$2:$B1000,"Entrada")-SUMIFS('Movimentações'!$E$2:$E1000,'Movimentações'!$C$2:$C1000,A6,'Movimentações'!$B$2:$B1000,"Saída"))</f>
        <v>4</v>
      </c>
      <c r="F6" s="7">
        <v>2.0</v>
      </c>
      <c r="G6" s="8" t="str">
        <f t="shared" si="1"/>
        <v>🟢 NORMAL</v>
      </c>
    </row>
    <row r="7">
      <c r="A7" s="7" t="s">
        <v>49</v>
      </c>
      <c r="B7" s="10" t="s">
        <v>50</v>
      </c>
      <c r="C7" s="7" t="s">
        <v>31</v>
      </c>
      <c r="D7" s="11">
        <v>2.0</v>
      </c>
      <c r="E7" s="8">
        <f>IF(A7="","",D7+SUMIFS('Movimentações'!$E$2:$E1000,'Movimentações'!$C$2:$C1000,A7,'Movimentações'!$B$2:$B1000,"Entrada")-SUMIFS('Movimentações'!$E$2:$E1000,'Movimentações'!$C$2:$C1000,A7,'Movimentações'!$B$2:$B1000,"Saída"))</f>
        <v>2</v>
      </c>
      <c r="F7" s="7">
        <v>2.0</v>
      </c>
      <c r="G7" s="8" t="str">
        <f t="shared" si="1"/>
        <v>🟡 ATENÇÃO</v>
      </c>
    </row>
    <row r="8">
      <c r="A8" s="7" t="s">
        <v>51</v>
      </c>
      <c r="B8" s="10" t="s">
        <v>52</v>
      </c>
      <c r="C8" s="7" t="s">
        <v>31</v>
      </c>
      <c r="D8" s="11">
        <v>3.0</v>
      </c>
      <c r="E8" s="8">
        <f>IF(A8="","",D8+SUMIFS('Movimentações'!$E$2:$E1000,'Movimentações'!$C$2:$C1000,A8,'Movimentações'!$B$2:$B1000,"Entrada")-SUMIFS('Movimentações'!$E$2:$E1000,'Movimentações'!$C$2:$C1000,A8,'Movimentações'!$B$2:$B1000,"Saída"))</f>
        <v>3</v>
      </c>
      <c r="F8" s="7">
        <v>2.0</v>
      </c>
      <c r="G8" s="8" t="str">
        <f t="shared" si="1"/>
        <v>🟢 NORMAL</v>
      </c>
    </row>
    <row r="9">
      <c r="A9" s="7" t="s">
        <v>53</v>
      </c>
      <c r="B9" s="12" t="s">
        <v>54</v>
      </c>
      <c r="C9" s="7" t="s">
        <v>5</v>
      </c>
      <c r="D9" s="13">
        <v>13.0</v>
      </c>
      <c r="E9" s="8">
        <f>IF(A9="","",D9+SUMIFS('Movimentações'!$E$2:$E1000,'Movimentações'!$C$2:$C1000,A9,'Movimentações'!$B$2:$B1000,"Entrada")-SUMIFS('Movimentações'!$E$2:$E1000,'Movimentações'!$C$2:$C1000,A9,'Movimentações'!$B$2:$B1000,"Saída"))</f>
        <v>13</v>
      </c>
      <c r="F9" s="7">
        <v>6.0</v>
      </c>
      <c r="G9" s="8" t="str">
        <f t="shared" si="1"/>
        <v>🟢 NORMAL</v>
      </c>
    </row>
    <row r="10">
      <c r="A10" s="7" t="s">
        <v>56</v>
      </c>
      <c r="B10" s="12" t="s">
        <v>57</v>
      </c>
      <c r="C10" s="7" t="s">
        <v>5</v>
      </c>
      <c r="D10" s="15">
        <v>26.0</v>
      </c>
      <c r="E10" s="8">
        <f>IF(A10="","",D10+SUMIFS('Movimentações'!$E$2:$E1000,'Movimentações'!$C$2:$C1000,A10,'Movimentações'!$B$2:$B1000,"Entrada")-SUMIFS('Movimentações'!$E$2:$E1000,'Movimentações'!$C$2:$C1000,A10,'Movimentações'!$B$2:$B1000,"Saída"))</f>
        <v>26</v>
      </c>
      <c r="F10" s="7">
        <v>6.0</v>
      </c>
      <c r="G10" s="8" t="str">
        <f t="shared" si="1"/>
        <v>🟢 NORMAL</v>
      </c>
    </row>
    <row r="11">
      <c r="A11" s="7" t="s">
        <v>61</v>
      </c>
      <c r="B11" s="12" t="s">
        <v>62</v>
      </c>
      <c r="C11" s="7" t="s">
        <v>31</v>
      </c>
      <c r="D11" s="13">
        <v>1.0</v>
      </c>
      <c r="E11" s="8">
        <f>IF(A11="","",D11+SUMIFS('Movimentações'!$E$2:$E1000,'Movimentações'!$C$2:$C1000,A11,'Movimentações'!$B$2:$B1000,"Entrada")-SUMIFS('Movimentações'!$E$2:$E1000,'Movimentações'!$C$2:$C1000,A11,'Movimentações'!$B$2:$B1000,"Saída"))</f>
        <v>1</v>
      </c>
      <c r="F11" s="7">
        <v>2.0</v>
      </c>
      <c r="G11" s="8" t="str">
        <f t="shared" si="1"/>
        <v>🔴 REPOR</v>
      </c>
    </row>
    <row r="12">
      <c r="A12" s="7" t="s">
        <v>64</v>
      </c>
      <c r="B12" s="12" t="s">
        <v>65</v>
      </c>
      <c r="C12" s="7" t="s">
        <v>22</v>
      </c>
      <c r="D12" s="15">
        <v>1.0</v>
      </c>
      <c r="E12" s="8">
        <f>IF(A12="","",D12+SUMIFS('Movimentações'!$E$2:$E1000,'Movimentações'!$C$2:$C1000,A12,'Movimentações'!$B$2:$B1000,"Entrada")-SUMIFS('Movimentações'!$E$2:$E1000,'Movimentações'!$C$2:$C1000,A12,'Movimentações'!$B$2:$B1000,"Saída"))</f>
        <v>1</v>
      </c>
      <c r="F12" s="7">
        <v>1.0</v>
      </c>
      <c r="G12" s="8" t="str">
        <f t="shared" si="1"/>
        <v>🟡 ATENÇÃO</v>
      </c>
    </row>
    <row r="13">
      <c r="A13" s="7" t="s">
        <v>66</v>
      </c>
      <c r="B13" s="12" t="s">
        <v>67</v>
      </c>
      <c r="C13" s="7" t="s">
        <v>22</v>
      </c>
      <c r="D13" s="15">
        <v>1.0</v>
      </c>
      <c r="E13" s="8">
        <f>IF(A13="","",D13+SUMIFS('Movimentações'!$E$2:$E1000,'Movimentações'!$C$2:$C1000,A13,'Movimentações'!$B$2:$B1000,"Entrada")-SUMIFS('Movimentações'!$E$2:$E1000,'Movimentações'!$C$2:$C1000,A13,'Movimentações'!$B$2:$B1000,"Saída"))</f>
        <v>1</v>
      </c>
      <c r="F13" s="7">
        <v>1.0</v>
      </c>
      <c r="G13" s="8" t="str">
        <f t="shared" si="1"/>
        <v>🟡 ATENÇÃO</v>
      </c>
    </row>
    <row r="14">
      <c r="A14" s="7" t="s">
        <v>69</v>
      </c>
      <c r="B14" s="12" t="s">
        <v>70</v>
      </c>
      <c r="C14" s="7" t="s">
        <v>5</v>
      </c>
      <c r="D14" s="15">
        <v>2.0</v>
      </c>
      <c r="E14" s="8">
        <f>IF(A14="","",D14+SUMIFS('Movimentações'!$E$2:$E1000,'Movimentações'!$C$2:$C1000,A14,'Movimentações'!$B$2:$B1000,"Entrada")-SUMIFS('Movimentações'!$E$2:$E1000,'Movimentações'!$C$2:$C1000,A14,'Movimentações'!$B$2:$B1000,"Saída"))</f>
        <v>2</v>
      </c>
      <c r="F14" s="7">
        <v>1.0</v>
      </c>
      <c r="G14" s="8" t="str">
        <f t="shared" si="1"/>
        <v>🟢 NORMAL</v>
      </c>
    </row>
    <row r="15">
      <c r="A15" s="7" t="s">
        <v>73</v>
      </c>
      <c r="B15" s="21" t="s">
        <v>74</v>
      </c>
      <c r="C15" s="7" t="s">
        <v>5</v>
      </c>
      <c r="D15" s="13">
        <v>2.0</v>
      </c>
      <c r="E15" s="8">
        <f>IF(A15="","",D15+SUMIFS('Movimentações'!$E$2:$E1000,'Movimentações'!$C$2:$C1000,A15,'Movimentações'!$B$2:$B1000,"Entrada")-SUMIFS('Movimentações'!$E$2:$E1000,'Movimentações'!$C$2:$C1000,A15,'Movimentações'!$B$2:$B1000,"Saída"))</f>
        <v>2</v>
      </c>
      <c r="F15" s="7">
        <v>2.0</v>
      </c>
      <c r="G15" s="8" t="str">
        <f t="shared" si="1"/>
        <v>🟡 ATENÇÃO</v>
      </c>
    </row>
    <row r="16">
      <c r="A16" s="7" t="s">
        <v>79</v>
      </c>
      <c r="B16" s="21" t="s">
        <v>80</v>
      </c>
      <c r="C16" s="7" t="s">
        <v>5</v>
      </c>
      <c r="D16" s="13">
        <v>1.0</v>
      </c>
      <c r="E16" s="8">
        <f>IF(A16="","",D16+SUMIFS('Movimentações'!$E$2:$E1000,'Movimentações'!$C$2:$C1000,A16,'Movimentações'!$B$2:$B1000,"Entrada")-SUMIFS('Movimentações'!$E$2:$E1000,'Movimentações'!$C$2:$C1000,A16,'Movimentações'!$B$2:$B1000,"Saída"))</f>
        <v>1</v>
      </c>
      <c r="F16" s="7">
        <v>4.0</v>
      </c>
      <c r="G16" s="8" t="str">
        <f t="shared" si="1"/>
        <v>🔴 REPOR</v>
      </c>
    </row>
    <row r="17">
      <c r="A17" s="7" t="s">
        <v>81</v>
      </c>
      <c r="B17" s="12" t="s">
        <v>82</v>
      </c>
      <c r="C17" s="7" t="s">
        <v>5</v>
      </c>
      <c r="D17" s="15">
        <v>1.0</v>
      </c>
      <c r="E17" s="8">
        <f>IF(A17="","",D17+SUMIFS('Movimentações'!$E$2:$E1000,'Movimentações'!$C$2:$C1000,A17,'Movimentações'!$B$2:$B1000,"Entrada")-SUMIFS('Movimentações'!$E$2:$E1000,'Movimentações'!$C$2:$C1000,A17,'Movimentações'!$B$2:$B1000,"Saída"))</f>
        <v>1</v>
      </c>
      <c r="F17" s="7">
        <v>1.0</v>
      </c>
      <c r="G17" s="8" t="str">
        <f t="shared" si="1"/>
        <v>🟡 ATENÇÃO</v>
      </c>
    </row>
    <row r="18">
      <c r="A18" s="7" t="s">
        <v>84</v>
      </c>
      <c r="B18" s="21" t="s">
        <v>85</v>
      </c>
      <c r="C18" s="7" t="s">
        <v>5</v>
      </c>
      <c r="D18" s="13">
        <v>0.0</v>
      </c>
      <c r="E18" s="8">
        <f>IF(A18="","",D18+SUMIFS('Movimentações'!$E$2:$E1000,'Movimentações'!$C$2:$C1000,A18,'Movimentações'!$B$2:$B1000,"Entrada")-SUMIFS('Movimentações'!$E$2:$E1000,'Movimentações'!$C$2:$C1000,A18,'Movimentações'!$B$2:$B1000,"Saída"))</f>
        <v>0</v>
      </c>
      <c r="F18" s="7">
        <v>2.0</v>
      </c>
      <c r="G18" s="8" t="str">
        <f t="shared" si="1"/>
        <v>🔴 REPOR</v>
      </c>
    </row>
    <row r="19">
      <c r="A19" s="7" t="s">
        <v>87</v>
      </c>
      <c r="B19" s="21" t="s">
        <v>88</v>
      </c>
      <c r="C19" s="7" t="s">
        <v>5</v>
      </c>
      <c r="D19" s="13">
        <v>0.0</v>
      </c>
      <c r="E19" s="8">
        <f>IF(A19="","",D19+SUMIFS('Movimentações'!$E$2:$E1000,'Movimentações'!$C$2:$C1000,A19,'Movimentações'!$B$2:$B1000,"Entrada")-SUMIFS('Movimentações'!$E$2:$E1000,'Movimentações'!$C$2:$C1000,A19,'Movimentações'!$B$2:$B1000,"Saída"))</f>
        <v>0</v>
      </c>
      <c r="F19" s="7">
        <v>4.0</v>
      </c>
      <c r="G19" s="8" t="str">
        <f t="shared" si="1"/>
        <v>🔴 REPOR</v>
      </c>
    </row>
    <row r="20">
      <c r="A20" s="7" t="s">
        <v>89</v>
      </c>
      <c r="B20" s="21" t="s">
        <v>90</v>
      </c>
      <c r="C20" s="7" t="s">
        <v>5</v>
      </c>
      <c r="D20" s="22">
        <v>0.0</v>
      </c>
      <c r="E20" s="8">
        <f>IF(A20="","",D20+SUMIFS('Movimentações'!$E$2:$E1000,'Movimentações'!$C$2:$C1000,A20,'Movimentações'!$B$2:$B1000,"Entrada")-SUMIFS('Movimentações'!$E$2:$E1000,'Movimentações'!$C$2:$C1000,A20,'Movimentações'!$B$2:$B1000,"Saída"))</f>
        <v>0</v>
      </c>
      <c r="F20" s="7">
        <v>4.0</v>
      </c>
      <c r="G20" s="8" t="str">
        <f t="shared" si="1"/>
        <v>🔴 REPOR</v>
      </c>
    </row>
    <row r="21" ht="15.75" customHeight="1">
      <c r="A21" s="7" t="s">
        <v>92</v>
      </c>
      <c r="B21" s="21" t="s">
        <v>93</v>
      </c>
      <c r="C21" s="7" t="s">
        <v>5</v>
      </c>
      <c r="D21" s="22">
        <v>0.0</v>
      </c>
      <c r="E21" s="8">
        <f>IF(A21="","",D21+SUMIFS('Movimentações'!$E$2:$E1000,'Movimentações'!$C$2:$C1000,A21,'Movimentações'!$B$2:$B1000,"Entrada")-SUMIFS('Movimentações'!$E$2:$E1000,'Movimentações'!$C$2:$C1000,A21,'Movimentações'!$B$2:$B1000,"Saída"))</f>
        <v>0</v>
      </c>
      <c r="F21" s="7">
        <v>2.0</v>
      </c>
      <c r="G21" s="8" t="str">
        <f t="shared" si="1"/>
        <v>🔴 REPOR</v>
      </c>
    </row>
    <row r="22" ht="15.75" customHeight="1">
      <c r="A22" s="7" t="s">
        <v>94</v>
      </c>
      <c r="B22" s="12" t="s">
        <v>95</v>
      </c>
      <c r="C22" s="7" t="s">
        <v>22</v>
      </c>
      <c r="D22" s="22">
        <v>5.0</v>
      </c>
      <c r="E22" s="8">
        <f>IF(A22="","",D22+SUMIFS('Movimentações'!$E$2:$E1000,'Movimentações'!$C$2:$C1000,A22,'Movimentações'!$B$2:$B1000,"Entrada")-SUMIFS('Movimentações'!$E$2:$E1000,'Movimentações'!$C$2:$C1000,A22,'Movimentações'!$B$2:$B1000,"Saída"))</f>
        <v>5</v>
      </c>
      <c r="F22" s="7">
        <v>2.0</v>
      </c>
      <c r="G22" s="8" t="str">
        <f t="shared" si="1"/>
        <v>🟢 NORMAL</v>
      </c>
    </row>
    <row r="23" ht="15.75" customHeight="1">
      <c r="A23" s="7" t="s">
        <v>96</v>
      </c>
      <c r="B23" s="22" t="s">
        <v>97</v>
      </c>
      <c r="C23" s="7" t="s">
        <v>22</v>
      </c>
      <c r="D23" s="13">
        <v>1.0</v>
      </c>
      <c r="E23" s="8">
        <f>IF(A23="","",D23+SUMIFS('Movimentações'!$E$2:$E1000,'Movimentações'!$C$2:$C1000,A23,'Movimentações'!$B$2:$B1000,"Entrada")-SUMIFS('Movimentações'!$E$2:$E1000,'Movimentações'!$C$2:$C1000,A23,'Movimentações'!$B$2:$B1000,"Saída"))</f>
        <v>1</v>
      </c>
      <c r="F23" s="7">
        <v>2.0</v>
      </c>
      <c r="G23" s="8" t="str">
        <f t="shared" si="1"/>
        <v>🔴 REPOR</v>
      </c>
    </row>
    <row r="24" ht="15.75" customHeight="1">
      <c r="A24" s="7" t="s">
        <v>99</v>
      </c>
      <c r="B24" s="12" t="s">
        <v>100</v>
      </c>
      <c r="C24" s="7" t="s">
        <v>101</v>
      </c>
      <c r="D24" s="23">
        <v>3.0</v>
      </c>
      <c r="E24" s="8">
        <f>IF(A24="","",D24+SUMIFS('Movimentações'!$E$2:$E1000,'Movimentações'!$C$2:$C1000,A24,'Movimentações'!$B$2:$B1000,"Entrada")-SUMIFS('Movimentações'!$E$2:$E1000,'Movimentações'!$C$2:$C1000,A24,'Movimentações'!$B$2:$B1000,"Saída"))</f>
        <v>3</v>
      </c>
      <c r="F24" s="7">
        <v>4.0</v>
      </c>
      <c r="G24" s="8" t="str">
        <f t="shared" si="1"/>
        <v>🔴 REPOR</v>
      </c>
    </row>
    <row r="25" ht="15.75" customHeight="1">
      <c r="A25" s="7" t="s">
        <v>102</v>
      </c>
      <c r="B25" s="12" t="s">
        <v>103</v>
      </c>
      <c r="C25" s="7" t="s">
        <v>5</v>
      </c>
      <c r="D25" s="15">
        <v>2.0</v>
      </c>
      <c r="E25" s="8">
        <f>IF(A25="","",D25+SUMIFS('Movimentações'!$E$2:$E1000,'Movimentações'!$C$2:$C1000,A25,'Movimentações'!$B$2:$B1000,"Entrada")-SUMIFS('Movimentações'!$E$2:$E1000,'Movimentações'!$C$2:$C1000,A25,'Movimentações'!$B$2:$B1000,"Saída"))</f>
        <v>2</v>
      </c>
      <c r="F25" s="7">
        <v>2.0</v>
      </c>
      <c r="G25" s="8" t="str">
        <f t="shared" si="1"/>
        <v>🟡 ATENÇÃO</v>
      </c>
    </row>
    <row r="26" ht="15.75" customHeight="1">
      <c r="A26" s="7" t="s">
        <v>105</v>
      </c>
      <c r="B26" s="12" t="s">
        <v>106</v>
      </c>
      <c r="C26" s="7" t="s">
        <v>5</v>
      </c>
      <c r="D26" s="15">
        <v>9.0</v>
      </c>
      <c r="E26" s="8">
        <f>IF(A26="","",D26+SUMIFS('Movimentações'!$E$2:$E1000,'Movimentações'!$C$2:$C1000,A26,'Movimentações'!$B$2:$B1000,"Entrada")-SUMIFS('Movimentações'!$E$2:$E1000,'Movimentações'!$C$2:$C1000,A26,'Movimentações'!$B$2:$B1000,"Saída"))</f>
        <v>9</v>
      </c>
      <c r="F26" s="7">
        <v>6.0</v>
      </c>
      <c r="G26" s="8" t="str">
        <f t="shared" si="1"/>
        <v>🟢 NORMAL</v>
      </c>
    </row>
    <row r="27" ht="15.75" customHeight="1">
      <c r="A27" s="7" t="s">
        <v>107</v>
      </c>
      <c r="B27" s="12" t="s">
        <v>108</v>
      </c>
      <c r="C27" s="7" t="s">
        <v>22</v>
      </c>
      <c r="D27" s="11">
        <v>7.0</v>
      </c>
      <c r="E27" s="8">
        <f>IF(A27="","",D27+SUMIFS('Movimentações'!$E$2:$E1000,'Movimentações'!$C$2:$C1000,A27,'Movimentações'!$B$2:$B1000,"Entrada")-SUMIFS('Movimentações'!$E$2:$E1000,'Movimentações'!$C$2:$C1000,A27,'Movimentações'!$B$2:$B1000,"Saída"))</f>
        <v>7</v>
      </c>
      <c r="F27" s="7">
        <v>4.0</v>
      </c>
      <c r="G27" s="8" t="str">
        <f t="shared" si="1"/>
        <v>🟢 NORMAL</v>
      </c>
    </row>
    <row r="28" ht="15.75" customHeight="1">
      <c r="A28" s="7" t="s">
        <v>109</v>
      </c>
      <c r="B28" s="12" t="s">
        <v>110</v>
      </c>
      <c r="C28" s="7" t="s">
        <v>22</v>
      </c>
      <c r="D28" s="11">
        <v>4.0</v>
      </c>
      <c r="E28" s="8">
        <f>IF(A28="","",D28+SUMIFS('Movimentações'!$E$2:$E1000,'Movimentações'!$C$2:$C1000,A28,'Movimentações'!$B$2:$B1000,"Entrada")-SUMIFS('Movimentações'!$E$2:$E1000,'Movimentações'!$C$2:$C1000,A28,'Movimentações'!$B$2:$B1000,"Saída"))</f>
        <v>4</v>
      </c>
      <c r="F28" s="7">
        <v>4.0</v>
      </c>
      <c r="G28" s="8" t="str">
        <f t="shared" si="1"/>
        <v>🟡 ATENÇÃO</v>
      </c>
    </row>
    <row r="29" ht="15.75" customHeight="1">
      <c r="A29" s="7" t="s">
        <v>112</v>
      </c>
      <c r="B29" s="12" t="s">
        <v>113</v>
      </c>
      <c r="C29" s="7" t="s">
        <v>22</v>
      </c>
      <c r="D29" s="11">
        <v>14.0</v>
      </c>
      <c r="E29" s="8">
        <f>IF(A29="","",D29+SUMIFS('Movimentações'!$E$2:$E1000,'Movimentações'!$C$2:$C1000,A29,'Movimentações'!$B$2:$B1000,"Entrada")-SUMIFS('Movimentações'!$E$2:$E1000,'Movimentações'!$C$2:$C1000,A29,'Movimentações'!$B$2:$B1000,"Saída"))</f>
        <v>14</v>
      </c>
      <c r="F29" s="7">
        <v>4.0</v>
      </c>
      <c r="G29" s="8" t="str">
        <f t="shared" si="1"/>
        <v>🟢 NORMAL</v>
      </c>
    </row>
    <row r="30" ht="15.75" customHeight="1">
      <c r="A30" s="7" t="s">
        <v>114</v>
      </c>
      <c r="B30" s="10" t="s">
        <v>115</v>
      </c>
      <c r="C30" s="7" t="s">
        <v>22</v>
      </c>
      <c r="D30" s="15">
        <v>15.0</v>
      </c>
      <c r="E30" s="8">
        <f>IF(A30="","",D30+SUMIFS('Movimentações'!$E$2:$E1000,'Movimentações'!$C$2:$C1000,A30,'Movimentações'!$B$2:$B1000,"Entrada")-SUMIFS('Movimentações'!$E$2:$E1000,'Movimentações'!$C$2:$C1000,A30,'Movimentações'!$B$2:$B1000,"Saída"))</f>
        <v>15</v>
      </c>
      <c r="F30" s="7">
        <v>4.0</v>
      </c>
      <c r="G30" s="8" t="str">
        <f t="shared" si="1"/>
        <v>🟢 NORMAL</v>
      </c>
    </row>
    <row r="31" ht="15.75" customHeight="1">
      <c r="A31" s="7" t="s">
        <v>116</v>
      </c>
      <c r="B31" s="12" t="s">
        <v>118</v>
      </c>
      <c r="C31" s="7" t="s">
        <v>22</v>
      </c>
      <c r="D31" s="15">
        <v>7.0</v>
      </c>
      <c r="E31" s="8">
        <f>IF(A31="","",D31+SUMIFS('Movimentações'!$E$2:$E1000,'Movimentações'!$C$2:$C1000,A31,'Movimentações'!$B$2:$B1000,"Entrada")-SUMIFS('Movimentações'!$E$2:$E1000,'Movimentações'!$C$2:$C1000,A31,'Movimentações'!$B$2:$B1000,"Saída"))</f>
        <v>7</v>
      </c>
      <c r="F31" s="7">
        <v>4.0</v>
      </c>
      <c r="G31" s="8" t="str">
        <f t="shared" si="1"/>
        <v>🟢 NORMAL</v>
      </c>
    </row>
    <row r="32" ht="15.75" customHeight="1">
      <c r="A32" s="7" t="s">
        <v>119</v>
      </c>
      <c r="B32" s="12" t="s">
        <v>120</v>
      </c>
      <c r="C32" s="7" t="s">
        <v>22</v>
      </c>
      <c r="D32" s="15">
        <v>70.0</v>
      </c>
      <c r="E32" s="8">
        <f>IF(A32="","",D32+SUMIFS('Movimentações'!$E$2:$E1000,'Movimentações'!$C$2:$C1000,A32,'Movimentações'!$B$2:$B1000,"Entrada")-SUMIFS('Movimentações'!$E$2:$E1000,'Movimentações'!$C$2:$C1000,A32,'Movimentações'!$B$2:$B1000,"Saída"))</f>
        <v>70</v>
      </c>
      <c r="F32" s="7">
        <v>8.0</v>
      </c>
      <c r="G32" s="8" t="str">
        <f t="shared" si="1"/>
        <v>🟢 NORMAL</v>
      </c>
    </row>
    <row r="33" ht="15.75" customHeight="1">
      <c r="A33" s="7" t="s">
        <v>121</v>
      </c>
      <c r="B33" s="12" t="s">
        <v>123</v>
      </c>
      <c r="C33" s="7" t="s">
        <v>5</v>
      </c>
      <c r="D33" s="15">
        <v>2.0</v>
      </c>
      <c r="E33" s="8">
        <f>IF(A33="","",D33+SUMIFS('Movimentações'!$E$2:$E1000,'Movimentações'!$C$2:$C1000,A33,'Movimentações'!$B$2:$B1000,"Entrada")-SUMIFS('Movimentações'!$E$2:$E1000,'Movimentações'!$C$2:$C1000,A33,'Movimentações'!$B$2:$B1000,"Saída"))</f>
        <v>2</v>
      </c>
      <c r="F33" s="7">
        <v>2.0</v>
      </c>
      <c r="G33" s="8" t="str">
        <f t="shared" si="1"/>
        <v>🟡 ATENÇÃO</v>
      </c>
    </row>
    <row r="34" ht="15.75" customHeight="1">
      <c r="A34" s="7" t="s">
        <v>124</v>
      </c>
      <c r="B34" s="22" t="s">
        <v>125</v>
      </c>
      <c r="C34" s="7" t="s">
        <v>22</v>
      </c>
      <c r="D34" s="22">
        <v>1.0</v>
      </c>
      <c r="E34" s="8">
        <f>IF(A34="","",D34+SUMIFS('Movimentações'!$E$2:$E1000,'Movimentações'!$C$2:$C1000,A34,'Movimentações'!$B$2:$B1000,"Entrada")-SUMIFS('Movimentações'!$E$2:$E1000,'Movimentações'!$C$2:$C1000,A34,'Movimentações'!$B$2:$B1000,"Saída"))</f>
        <v>1</v>
      </c>
      <c r="F34" s="7">
        <v>2.0</v>
      </c>
      <c r="G34" s="8" t="str">
        <f t="shared" si="1"/>
        <v>🔴 REPOR</v>
      </c>
    </row>
    <row r="35" ht="15.75" customHeight="1">
      <c r="A35" s="7" t="s">
        <v>126</v>
      </c>
      <c r="B35" s="22" t="s">
        <v>127</v>
      </c>
      <c r="C35" s="7" t="s">
        <v>31</v>
      </c>
      <c r="D35" s="22">
        <v>1.0</v>
      </c>
      <c r="E35" s="8">
        <f>IF(A35="","",D35+SUMIFS('Movimentações'!$E$2:$E1000,'Movimentações'!$C$2:$C1000,A35,'Movimentações'!$B$2:$B1000,"Entrada")-SUMIFS('Movimentações'!$E$2:$E1000,'Movimentações'!$C$2:$C1000,A35,'Movimentações'!$B$2:$B1000,"Saída"))</f>
        <v>1</v>
      </c>
      <c r="F35" s="7">
        <v>2.0</v>
      </c>
      <c r="G35" s="8" t="str">
        <f t="shared" si="1"/>
        <v>🔴 REPOR</v>
      </c>
    </row>
    <row r="36" ht="15.75" customHeight="1">
      <c r="A36" s="7" t="s">
        <v>129</v>
      </c>
      <c r="B36" s="12" t="s">
        <v>130</v>
      </c>
      <c r="C36" s="7" t="s">
        <v>19</v>
      </c>
      <c r="D36" s="15">
        <v>2.0</v>
      </c>
      <c r="E36" s="8">
        <f>IF(A36="","",D36+SUMIFS('Movimentações'!$E$2:$E1000,'Movimentações'!$C$2:$C1000,A36,'Movimentações'!$B$2:$B1000,"Entrada")-SUMIFS('Movimentações'!$E$2:$E1000,'Movimentações'!$C$2:$C1000,A36,'Movimentações'!$B$2:$B1000,"Saída"))</f>
        <v>2</v>
      </c>
      <c r="F36" s="7">
        <v>2.0</v>
      </c>
      <c r="G36" s="8" t="str">
        <f t="shared" si="1"/>
        <v>🟡 ATENÇÃO</v>
      </c>
    </row>
    <row r="37" ht="15.75" customHeight="1">
      <c r="A37" s="7" t="s">
        <v>131</v>
      </c>
      <c r="B37" s="12" t="s">
        <v>132</v>
      </c>
      <c r="C37" s="7" t="s">
        <v>19</v>
      </c>
      <c r="D37" s="15">
        <v>6.0</v>
      </c>
      <c r="E37" s="8">
        <f>IF(A37="","",D37+SUMIFS('Movimentações'!$E$2:$E1000,'Movimentações'!$C$2:$C1000,A37,'Movimentações'!$B$2:$B1000,"Entrada")-SUMIFS('Movimentações'!$E$2:$E1000,'Movimentações'!$C$2:$C1000,A37,'Movimentações'!$B$2:$B1000,"Saída"))</f>
        <v>6</v>
      </c>
      <c r="F37" s="7">
        <v>2.0</v>
      </c>
      <c r="G37" s="8" t="str">
        <f t="shared" si="1"/>
        <v>🟢 NORMAL</v>
      </c>
    </row>
    <row r="38" ht="15.75" customHeight="1">
      <c r="A38" s="7" t="s">
        <v>134</v>
      </c>
      <c r="B38" s="12" t="s">
        <v>135</v>
      </c>
      <c r="C38" s="7" t="s">
        <v>19</v>
      </c>
      <c r="D38" s="15">
        <v>4.0</v>
      </c>
      <c r="E38" s="8">
        <f>IF(A38="","",D38+SUMIFS('Movimentações'!$E$2:$E1000,'Movimentações'!$C$2:$C1000,A38,'Movimentações'!$B$2:$B1000,"Entrada")-SUMIFS('Movimentações'!$E$2:$E1000,'Movimentações'!$C$2:$C1000,A38,'Movimentações'!$B$2:$B1000,"Saída"))</f>
        <v>4</v>
      </c>
      <c r="F38" s="7">
        <v>2.0</v>
      </c>
      <c r="G38" s="8" t="str">
        <f t="shared" si="1"/>
        <v>🟢 NORMAL</v>
      </c>
    </row>
    <row r="39" ht="15.75" customHeight="1">
      <c r="A39" s="7" t="s">
        <v>136</v>
      </c>
      <c r="B39" s="12" t="s">
        <v>137</v>
      </c>
      <c r="C39" s="7" t="s">
        <v>19</v>
      </c>
      <c r="D39" s="15">
        <v>9.0</v>
      </c>
      <c r="E39" s="8">
        <f>IF(A39="","",D39+SUMIFS('Movimentações'!$E$2:$E1000,'Movimentações'!$C$2:$C1000,A39,'Movimentações'!$B$2:$B1000,"Entrada")-SUMIFS('Movimentações'!$E$2:$E1000,'Movimentações'!$C$2:$C1000,A39,'Movimentações'!$B$2:$B1000,"Saída"))</f>
        <v>9</v>
      </c>
      <c r="F39" s="7">
        <v>2.0</v>
      </c>
      <c r="G39" s="8" t="str">
        <f t="shared" si="1"/>
        <v>🟢 NORMAL</v>
      </c>
    </row>
    <row r="40" ht="15.75" customHeight="1">
      <c r="A40" s="7" t="s">
        <v>139</v>
      </c>
      <c r="B40" s="12" t="s">
        <v>140</v>
      </c>
      <c r="C40" s="7" t="s">
        <v>19</v>
      </c>
      <c r="D40" s="15">
        <v>1.0</v>
      </c>
      <c r="E40" s="8">
        <f>IF(A40="","",D40+SUMIFS('Movimentações'!$E$2:$E1000,'Movimentações'!$C$2:$C1000,A40,'Movimentações'!$B$2:$B1000,"Entrada")-SUMIFS('Movimentações'!$E$2:$E1000,'Movimentações'!$C$2:$C1000,A40,'Movimentações'!$B$2:$B1000,"Saída"))</f>
        <v>1</v>
      </c>
      <c r="F40" s="7">
        <v>2.0</v>
      </c>
      <c r="G40" s="8" t="str">
        <f t="shared" si="1"/>
        <v>🔴 REPOR</v>
      </c>
    </row>
    <row r="41" ht="15.75" customHeight="1">
      <c r="A41" s="7" t="s">
        <v>141</v>
      </c>
      <c r="B41" s="12" t="s">
        <v>142</v>
      </c>
      <c r="C41" s="7" t="s">
        <v>19</v>
      </c>
      <c r="D41" s="15">
        <v>0.0</v>
      </c>
      <c r="E41" s="8">
        <f>IF(A41="","",D41+SUMIFS('Movimentações'!$E$2:$E1000,'Movimentações'!$C$2:$C1000,A41,'Movimentações'!$B$2:$B1000,"Entrada")-SUMIFS('Movimentações'!$E$2:$E1000,'Movimentações'!$C$2:$C1000,A41,'Movimentações'!$B$2:$B1000,"Saída"))</f>
        <v>0</v>
      </c>
      <c r="F41" s="7">
        <v>2.0</v>
      </c>
      <c r="G41" s="8" t="str">
        <f t="shared" si="1"/>
        <v>🔴 REPOR</v>
      </c>
    </row>
    <row r="42" ht="15.75" customHeight="1">
      <c r="A42" s="7" t="s">
        <v>143</v>
      </c>
      <c r="B42" s="12" t="s">
        <v>144</v>
      </c>
      <c r="C42" s="7" t="s">
        <v>31</v>
      </c>
      <c r="D42" s="15">
        <v>1.0</v>
      </c>
      <c r="E42" s="8">
        <f>IF(A42="","",D42+SUMIFS('Movimentações'!$E$2:$E1000,'Movimentações'!$C$2:$C1000,A42,'Movimentações'!$B$2:$B1000,"Entrada")-SUMIFS('Movimentações'!$E$2:$E1000,'Movimentações'!$C$2:$C1000,A42,'Movimentações'!$B$2:$B1000,"Saída"))</f>
        <v>1</v>
      </c>
      <c r="F42" s="7">
        <v>1.0</v>
      </c>
      <c r="G42" s="8" t="str">
        <f t="shared" si="1"/>
        <v>🟡 ATENÇÃO</v>
      </c>
    </row>
    <row r="43" ht="15.75" customHeight="1">
      <c r="A43" s="7" t="s">
        <v>145</v>
      </c>
      <c r="B43" s="12" t="s">
        <v>147</v>
      </c>
      <c r="C43" s="7" t="s">
        <v>19</v>
      </c>
      <c r="D43" s="15">
        <v>9.0</v>
      </c>
      <c r="E43" s="8">
        <f>IF(A43="","",D43+SUMIFS('Movimentações'!$E$2:$E1000,'Movimentações'!$C$2:$C1000,A43,'Movimentações'!$B$2:$B1000,"Entrada")-SUMIFS('Movimentações'!$E$2:$E1000,'Movimentações'!$C$2:$C1000,A43,'Movimentações'!$B$2:$B1000,"Saída"))</f>
        <v>9</v>
      </c>
      <c r="F43" s="7">
        <v>2.0</v>
      </c>
      <c r="G43" s="8" t="str">
        <f t="shared" si="1"/>
        <v>🟢 NORMAL</v>
      </c>
    </row>
    <row r="44" ht="15.75" customHeight="1">
      <c r="A44" s="7" t="s">
        <v>149</v>
      </c>
      <c r="B44" s="12" t="s">
        <v>150</v>
      </c>
      <c r="C44" s="7" t="s">
        <v>5</v>
      </c>
      <c r="D44" s="15">
        <v>0.0</v>
      </c>
      <c r="E44" s="8">
        <f>IF(A44="","",D44+SUMIFS('Movimentações'!$E$2:$E1000,'Movimentações'!$C$2:$C1000,A44,'Movimentações'!$B$2:$B1000,"Entrada")-SUMIFS('Movimentações'!$E$2:$E1000,'Movimentações'!$C$2:$C1000,A44,'Movimentações'!$B$2:$B1000,"Saída"))</f>
        <v>0</v>
      </c>
      <c r="F44" s="7">
        <v>2.0</v>
      </c>
      <c r="G44" s="8" t="str">
        <f t="shared" si="1"/>
        <v>🔴 REPOR</v>
      </c>
    </row>
    <row r="45" ht="15.75" customHeight="1">
      <c r="A45" s="7" t="s">
        <v>151</v>
      </c>
      <c r="B45" s="12" t="s">
        <v>152</v>
      </c>
      <c r="C45" s="7" t="s">
        <v>22</v>
      </c>
      <c r="D45" s="15">
        <v>22.0</v>
      </c>
      <c r="E45" s="8">
        <f>IF(A45="","",D45+SUMIFS('Movimentações'!$E$2:$E1000,'Movimentações'!$C$2:$C1000,A45,'Movimentações'!$B$2:$B1000,"Entrada")-SUMIFS('Movimentações'!$E$2:$E1000,'Movimentações'!$C$2:$C1000,A45,'Movimentações'!$B$2:$B1000,"Saída"))</f>
        <v>22</v>
      </c>
      <c r="F45" s="7">
        <v>2.0</v>
      </c>
      <c r="G45" s="8" t="str">
        <f t="shared" si="1"/>
        <v>🟢 NORMAL</v>
      </c>
    </row>
    <row r="46" ht="15.75" customHeight="1">
      <c r="A46" s="7" t="s">
        <v>153</v>
      </c>
      <c r="B46" s="12" t="s">
        <v>154</v>
      </c>
      <c r="C46" s="7" t="s">
        <v>22</v>
      </c>
      <c r="D46" s="15">
        <v>4.0</v>
      </c>
      <c r="E46" s="8">
        <f>IF(A46="","",D46+SUMIFS('Movimentações'!$E$2:$E1000,'Movimentações'!$C$2:$C1000,A46,'Movimentações'!$B$2:$B1000,"Entrada")-SUMIFS('Movimentações'!$E$2:$E1000,'Movimentações'!$C$2:$C1000,A46,'Movimentações'!$B$2:$B1000,"Saída"))</f>
        <v>4</v>
      </c>
      <c r="F46" s="7">
        <v>2.0</v>
      </c>
      <c r="G46" s="8" t="str">
        <f t="shared" si="1"/>
        <v>🟢 NORMAL</v>
      </c>
    </row>
    <row r="47" ht="15.75" customHeight="1">
      <c r="A47" s="7" t="s">
        <v>155</v>
      </c>
      <c r="B47" s="12" t="s">
        <v>156</v>
      </c>
      <c r="C47" s="7" t="s">
        <v>22</v>
      </c>
      <c r="D47" s="15">
        <v>5.0</v>
      </c>
      <c r="E47" s="8">
        <f>IF(A47="","",D47+SUMIFS('Movimentações'!$E$2:$E1000,'Movimentações'!$C$2:$C1000,A47,'Movimentações'!$B$2:$B1000,"Entrada")-SUMIFS('Movimentações'!$E$2:$E1000,'Movimentações'!$C$2:$C1000,A47,'Movimentações'!$B$2:$B1000,"Saída"))</f>
        <v>5</v>
      </c>
      <c r="F47" s="7">
        <v>2.0</v>
      </c>
      <c r="G47" s="8" t="str">
        <f t="shared" si="1"/>
        <v>🟢 NORMAL</v>
      </c>
    </row>
    <row r="48" ht="15.75" customHeight="1">
      <c r="A48" s="7" t="s">
        <v>157</v>
      </c>
      <c r="B48" s="12" t="s">
        <v>158</v>
      </c>
      <c r="C48" s="7" t="s">
        <v>22</v>
      </c>
      <c r="D48" s="15">
        <v>3.0</v>
      </c>
      <c r="E48" s="8">
        <f>IF(A48="","",D48+SUMIFS('Movimentações'!$E$2:$E1000,'Movimentações'!$C$2:$C1000,A48,'Movimentações'!$B$2:$B1000,"Entrada")-SUMIFS('Movimentações'!$E$2:$E1000,'Movimentações'!$C$2:$C1000,A48,'Movimentações'!$B$2:$B1000,"Saída"))</f>
        <v>3</v>
      </c>
      <c r="F48" s="7">
        <v>2.0</v>
      </c>
      <c r="G48" s="8" t="str">
        <f t="shared" si="1"/>
        <v>🟢 NORMAL</v>
      </c>
    </row>
    <row r="49" ht="15.75" customHeight="1">
      <c r="A49" s="7" t="s">
        <v>159</v>
      </c>
      <c r="B49" s="12" t="s">
        <v>160</v>
      </c>
      <c r="C49" s="7" t="s">
        <v>22</v>
      </c>
      <c r="D49" s="15">
        <v>3.0</v>
      </c>
      <c r="E49" s="8">
        <f>IF(A49="","",D49+SUMIFS('Movimentações'!$E$2:$E1000,'Movimentações'!$C$2:$C1000,A49,'Movimentações'!$B$2:$B1000,"Entrada")-SUMIFS('Movimentações'!$E$2:$E1000,'Movimentações'!$C$2:$C1000,A49,'Movimentações'!$B$2:$B1000,"Saída"))</f>
        <v>3</v>
      </c>
      <c r="F49" s="7">
        <v>2.0</v>
      </c>
      <c r="G49" s="8" t="str">
        <f t="shared" si="1"/>
        <v>🟢 NORMAL</v>
      </c>
    </row>
    <row r="50" ht="15.75" customHeight="1">
      <c r="A50" s="7" t="s">
        <v>161</v>
      </c>
      <c r="B50" s="12" t="s">
        <v>162</v>
      </c>
      <c r="C50" s="7" t="s">
        <v>22</v>
      </c>
      <c r="D50" s="15">
        <v>1.0</v>
      </c>
      <c r="E50" s="8">
        <f>IF(A50="","",D50+SUMIFS('Movimentações'!$E$2:$E1000,'Movimentações'!$C$2:$C1000,A50,'Movimentações'!$B$2:$B1000,"Entrada")-SUMIFS('Movimentações'!$E$2:$E1000,'Movimentações'!$C$2:$C1000,A50,'Movimentações'!$B$2:$B1000,"Saída"))</f>
        <v>1</v>
      </c>
      <c r="F50" s="7">
        <v>2.0</v>
      </c>
      <c r="G50" s="8" t="str">
        <f t="shared" si="1"/>
        <v>🔴 REPOR</v>
      </c>
    </row>
    <row r="51" ht="15.75" customHeight="1">
      <c r="A51" s="7" t="s">
        <v>163</v>
      </c>
      <c r="B51" s="12" t="s">
        <v>164</v>
      </c>
      <c r="C51" s="7" t="s">
        <v>22</v>
      </c>
      <c r="D51" s="15">
        <v>3.0</v>
      </c>
      <c r="E51" s="8">
        <f>IF(A51="","",D51+SUMIFS('Movimentações'!$E$2:$E1000,'Movimentações'!$C$2:$C1000,A51,'Movimentações'!$B$2:$B1000,"Entrada")-SUMIFS('Movimentações'!$E$2:$E1000,'Movimentações'!$C$2:$C1000,A51,'Movimentações'!$B$2:$B1000,"Saída"))</f>
        <v>3</v>
      </c>
      <c r="F51" s="7">
        <v>2.0</v>
      </c>
      <c r="G51" s="8" t="str">
        <f t="shared" si="1"/>
        <v>🟢 NORMAL</v>
      </c>
    </row>
    <row r="52" ht="15.75" customHeight="1">
      <c r="A52" s="7" t="s">
        <v>165</v>
      </c>
      <c r="B52" s="12" t="s">
        <v>166</v>
      </c>
      <c r="C52" s="7" t="s">
        <v>22</v>
      </c>
      <c r="D52" s="15">
        <v>4.0</v>
      </c>
      <c r="E52" s="8">
        <f>IF(A52="","",D52+SUMIFS('Movimentações'!$E$2:$E1000,'Movimentações'!$C$2:$C1000,A52,'Movimentações'!$B$2:$B1000,"Entrada")-SUMIFS('Movimentações'!$E$2:$E1000,'Movimentações'!$C$2:$C1000,A52,'Movimentações'!$B$2:$B1000,"Saída"))</f>
        <v>4</v>
      </c>
      <c r="F52" s="7">
        <v>2.0</v>
      </c>
      <c r="G52" s="8" t="str">
        <f t="shared" si="1"/>
        <v>🟢 NORMAL</v>
      </c>
    </row>
    <row r="53" ht="15.75" customHeight="1">
      <c r="A53" s="7" t="s">
        <v>167</v>
      </c>
      <c r="B53" s="12" t="s">
        <v>168</v>
      </c>
      <c r="C53" s="7" t="s">
        <v>19</v>
      </c>
      <c r="D53" s="15">
        <v>5.0</v>
      </c>
      <c r="E53" s="8">
        <f>IF(A53="","",D53+SUMIFS('Movimentações'!$E$2:$E1000,'Movimentações'!$C$2:$C1000,A53,'Movimentações'!$B$2:$B1000,"Entrada")-SUMIFS('Movimentações'!$E$2:$E1000,'Movimentações'!$C$2:$C1000,A53,'Movimentações'!$B$2:$B1000,"Saída"))</f>
        <v>5</v>
      </c>
      <c r="F53" s="7">
        <v>2.0</v>
      </c>
      <c r="G53" s="8" t="str">
        <f t="shared" si="1"/>
        <v>🟢 NORMAL</v>
      </c>
    </row>
    <row r="54" ht="15.75" customHeight="1">
      <c r="A54" s="7" t="s">
        <v>169</v>
      </c>
      <c r="B54" s="12" t="s">
        <v>170</v>
      </c>
      <c r="C54" s="7" t="s">
        <v>19</v>
      </c>
      <c r="D54" s="15">
        <v>7.0</v>
      </c>
      <c r="E54" s="8">
        <f>IF(A54="","",D54+SUMIFS('Movimentações'!$E$2:$E1000,'Movimentações'!$C$2:$C1000,A54,'Movimentações'!$B$2:$B1000,"Entrada")-SUMIFS('Movimentações'!$E$2:$E1000,'Movimentações'!$C$2:$C1000,A54,'Movimentações'!$B$2:$B1000,"Saída"))</f>
        <v>7</v>
      </c>
      <c r="F54" s="7">
        <v>2.0</v>
      </c>
      <c r="G54" s="8" t="str">
        <f t="shared" si="1"/>
        <v>🟢 NORMAL</v>
      </c>
    </row>
    <row r="55" ht="15.75" customHeight="1">
      <c r="A55" s="7" t="s">
        <v>171</v>
      </c>
      <c r="B55" s="12" t="s">
        <v>172</v>
      </c>
      <c r="C55" s="7" t="s">
        <v>5</v>
      </c>
      <c r="D55" s="15">
        <v>8.0</v>
      </c>
      <c r="E55" s="8">
        <f>IF(A55="","",D55+SUMIFS('Movimentações'!$E$2:$E1000,'Movimentações'!$C$2:$C1000,A55,'Movimentações'!$B$2:$B1000,"Entrada")-SUMIFS('Movimentações'!$E$2:$E1000,'Movimentações'!$C$2:$C1000,A55,'Movimentações'!$B$2:$B1000,"Saída"))</f>
        <v>8</v>
      </c>
      <c r="F55" s="7">
        <v>2.0</v>
      </c>
      <c r="G55" s="8" t="str">
        <f t="shared" si="1"/>
        <v>🟢 NORMAL</v>
      </c>
    </row>
    <row r="56" ht="15.75" customHeight="1">
      <c r="A56" s="7" t="s">
        <v>173</v>
      </c>
      <c r="B56" s="25" t="s">
        <v>174</v>
      </c>
      <c r="C56" s="7" t="s">
        <v>5</v>
      </c>
      <c r="D56" s="15">
        <v>8.0</v>
      </c>
      <c r="E56" s="8">
        <f>IF(A56="","",D56+SUMIFS('Movimentações'!$E$2:$E1000,'Movimentações'!$C$2:$C1000,A56,'Movimentações'!$B$2:$B1000,"Entrada")-SUMIFS('Movimentações'!$E$2:$E1000,'Movimentações'!$C$2:$C1000,A56,'Movimentações'!$B$2:$B1000,"Saída"))</f>
        <v>8</v>
      </c>
      <c r="F56" s="7">
        <v>4.0</v>
      </c>
      <c r="G56" s="8" t="str">
        <f t="shared" si="1"/>
        <v>🟢 NORMAL</v>
      </c>
    </row>
    <row r="57" ht="15.75" customHeight="1">
      <c r="A57" s="7" t="s">
        <v>175</v>
      </c>
      <c r="B57" s="12" t="s">
        <v>176</v>
      </c>
      <c r="C57" s="7" t="s">
        <v>22</v>
      </c>
      <c r="D57" s="15">
        <v>9.0</v>
      </c>
      <c r="E57" s="8">
        <f>IF(A57="","",D57+SUMIFS('Movimentações'!$E$2:$E1000,'Movimentações'!$C$2:$C1000,A57,'Movimentações'!$B$2:$B1000,"Entrada")-SUMIFS('Movimentações'!$E$2:$E1000,'Movimentações'!$C$2:$C1000,A57,'Movimentações'!$B$2:$B1000,"Saída"))</f>
        <v>9</v>
      </c>
      <c r="F57" s="7">
        <v>4.0</v>
      </c>
      <c r="G57" s="8" t="str">
        <f t="shared" si="1"/>
        <v>🟢 NORMAL</v>
      </c>
    </row>
    <row r="58" ht="15.75" customHeight="1">
      <c r="A58" s="7" t="s">
        <v>177</v>
      </c>
      <c r="B58" s="12" t="s">
        <v>178</v>
      </c>
      <c r="C58" s="7" t="s">
        <v>5</v>
      </c>
      <c r="D58" s="15">
        <v>220.0</v>
      </c>
      <c r="E58" s="8">
        <f>IF(A58="","",D58+SUMIFS('Movimentações'!$E$2:$E1000,'Movimentações'!$C$2:$C1000,A58,'Movimentações'!$B$2:$B1000,"Entrada")-SUMIFS('Movimentações'!$E$2:$E1000,'Movimentações'!$C$2:$C1000,A58,'Movimentações'!$B$2:$B1000,"Saída"))</f>
        <v>220</v>
      </c>
      <c r="F58" s="7">
        <v>150.0</v>
      </c>
      <c r="G58" s="8" t="str">
        <f t="shared" si="1"/>
        <v>🟢 NORMAL</v>
      </c>
    </row>
    <row r="59" ht="15.75" customHeight="1">
      <c r="A59" s="7" t="s">
        <v>179</v>
      </c>
      <c r="B59" s="12" t="s">
        <v>180</v>
      </c>
      <c r="C59" s="7" t="s">
        <v>19</v>
      </c>
      <c r="D59" s="15">
        <v>9.0</v>
      </c>
      <c r="E59" s="8">
        <f>IF(A59="","",D59+SUMIFS('Movimentações'!$E$2:$E1000,'Movimentações'!$C$2:$C1000,A59,'Movimentações'!$B$2:$B1000,"Entrada")-SUMIFS('Movimentações'!$E$2:$E1000,'Movimentações'!$C$2:$C1000,A59,'Movimentações'!$B$2:$B1000,"Saída"))</f>
        <v>9</v>
      </c>
      <c r="F59" s="7">
        <v>6.0</v>
      </c>
      <c r="G59" s="8" t="str">
        <f t="shared" si="1"/>
        <v>🟢 NORMAL</v>
      </c>
    </row>
    <row r="60" ht="15.75" customHeight="1">
      <c r="A60" s="7" t="s">
        <v>181</v>
      </c>
      <c r="B60" s="12" t="s">
        <v>182</v>
      </c>
      <c r="C60" s="7" t="s">
        <v>5</v>
      </c>
      <c r="D60" s="15">
        <v>42.0</v>
      </c>
      <c r="E60" s="8">
        <f>IF(A60="","",D60+SUMIFS('Movimentações'!$E$2:$E1000,'Movimentações'!$C$2:$C1000,A60,'Movimentações'!$B$2:$B1000,"Entrada")-SUMIFS('Movimentações'!$E$2:$E1000,'Movimentações'!$C$2:$C1000,A60,'Movimentações'!$B$2:$B1000,"Saída"))</f>
        <v>42</v>
      </c>
      <c r="F60" s="7">
        <v>12.0</v>
      </c>
      <c r="G60" s="8" t="str">
        <f t="shared" si="1"/>
        <v>🟢 NORMAL</v>
      </c>
    </row>
    <row r="61" ht="15.75" customHeight="1">
      <c r="A61" s="7" t="s">
        <v>36</v>
      </c>
      <c r="B61" s="12" t="s">
        <v>183</v>
      </c>
      <c r="C61" s="7" t="s">
        <v>5</v>
      </c>
      <c r="D61" s="15">
        <v>930.0</v>
      </c>
      <c r="E61" s="8">
        <f>IF(A61="","",D61+SUMIFS('Movimentações'!$E$2:$E1000,'Movimentações'!$C$2:$C1000,A61,'Movimentações'!$B$2:$B1000,"Entrada")-SUMIFS('Movimentações'!$E$2:$E1000,'Movimentações'!$C$2:$C1000,A61,'Movimentações'!$B$2:$B1000,"Saída"))</f>
        <v>928</v>
      </c>
      <c r="F61" s="7">
        <v>300.0</v>
      </c>
      <c r="G61" s="8" t="str">
        <f t="shared" si="1"/>
        <v>🟢 NORMAL</v>
      </c>
    </row>
    <row r="62" ht="15.75" customHeight="1">
      <c r="A62" s="7" t="s">
        <v>184</v>
      </c>
      <c r="B62" s="12" t="s">
        <v>185</v>
      </c>
      <c r="C62" s="7" t="s">
        <v>5</v>
      </c>
      <c r="D62" s="15">
        <v>390.0</v>
      </c>
      <c r="E62" s="8">
        <f>IF(A62="","",D62+SUMIFS('Movimentações'!$E$2:$E1000,'Movimentações'!$C$2:$C1000,A62,'Movimentações'!$B$2:$B1000,"Entrada")-SUMIFS('Movimentações'!$E$2:$E1000,'Movimentações'!$C$2:$C1000,A62,'Movimentações'!$B$2:$B1000,"Saída"))</f>
        <v>390</v>
      </c>
      <c r="F62" s="7">
        <v>100.0</v>
      </c>
      <c r="G62" s="8" t="str">
        <f t="shared" si="1"/>
        <v>🟢 NORMAL</v>
      </c>
    </row>
    <row r="63" ht="15.75" customHeight="1">
      <c r="A63" s="7" t="s">
        <v>186</v>
      </c>
      <c r="B63" s="12" t="s">
        <v>187</v>
      </c>
      <c r="C63" s="7" t="s">
        <v>22</v>
      </c>
      <c r="D63" s="15">
        <v>300.0</v>
      </c>
      <c r="E63" s="8">
        <f>IF(A63="","",D63+SUMIFS('Movimentações'!$E$2:$E1000,'Movimentações'!$C$2:$C1000,A63,'Movimentações'!$B$2:$B1000,"Entrada")-SUMIFS('Movimentações'!$E$2:$E1000,'Movimentações'!$C$2:$C1000,A63,'Movimentações'!$B$2:$B1000,"Saída"))</f>
        <v>300</v>
      </c>
      <c r="F63" s="7">
        <v>100.0</v>
      </c>
      <c r="G63" s="8" t="str">
        <f t="shared" si="1"/>
        <v>🟢 NORMAL</v>
      </c>
    </row>
    <row r="64" ht="15.75" customHeight="1">
      <c r="A64" s="7" t="s">
        <v>188</v>
      </c>
      <c r="B64" s="12" t="s">
        <v>189</v>
      </c>
      <c r="C64" s="7" t="s">
        <v>22</v>
      </c>
      <c r="D64" s="15">
        <v>150.0</v>
      </c>
      <c r="E64" s="8">
        <f>IF(A64="","",D64+SUMIFS('Movimentações'!$E$2:$E1000,'Movimentações'!$C$2:$C1000,A64,'Movimentações'!$B$2:$B1000,"Entrada")-SUMIFS('Movimentações'!$E$2:$E1000,'Movimentações'!$C$2:$C1000,A64,'Movimentações'!$B$2:$B1000,"Saída"))</f>
        <v>150</v>
      </c>
      <c r="F64" s="7">
        <v>50.0</v>
      </c>
      <c r="G64" s="8" t="str">
        <f t="shared" si="1"/>
        <v>🟢 NORMAL</v>
      </c>
    </row>
    <row r="65" ht="15.75" customHeight="1">
      <c r="A65" s="7" t="s">
        <v>190</v>
      </c>
      <c r="B65" s="12" t="s">
        <v>191</v>
      </c>
      <c r="C65" s="7" t="s">
        <v>5</v>
      </c>
      <c r="D65" s="15">
        <v>250.0</v>
      </c>
      <c r="E65" s="8">
        <f>IF(A65="","",D65+SUMIFS('Movimentações'!$E$2:$E1000,'Movimentações'!$C$2:$C1000,A65,'Movimentações'!$B$2:$B1000,"Entrada")-SUMIFS('Movimentações'!$E$2:$E1000,'Movimentações'!$C$2:$C1000,A65,'Movimentações'!$B$2:$B1000,"Saída"))</f>
        <v>250</v>
      </c>
      <c r="F65" s="7">
        <v>50.0</v>
      </c>
      <c r="G65" s="8" t="str">
        <f t="shared" si="1"/>
        <v>🟢 NORMAL</v>
      </c>
    </row>
    <row r="66" ht="15.75" customHeight="1">
      <c r="A66" s="7" t="s">
        <v>192</v>
      </c>
      <c r="B66" s="12" t="s">
        <v>193</v>
      </c>
      <c r="C66" s="7" t="s">
        <v>5</v>
      </c>
      <c r="D66" s="15">
        <v>20000.0</v>
      </c>
      <c r="E66" s="8">
        <f>IF(A66="","",D66+SUMIFS('Movimentações'!$E$2:$E1000,'Movimentações'!$C$2:$C1000,A66,'Movimentações'!$B$2:$B1000,"Entrada")-SUMIFS('Movimentações'!$E$2:$E1000,'Movimentações'!$C$2:$C1000,A66,'Movimentações'!$B$2:$B1000,"Saída"))</f>
        <v>20000</v>
      </c>
      <c r="F66" s="7">
        <v>2000.0</v>
      </c>
      <c r="G66" s="8" t="str">
        <f t="shared" si="1"/>
        <v>🟢 NORMAL</v>
      </c>
    </row>
    <row r="67" ht="15.75" customHeight="1">
      <c r="A67" s="7" t="s">
        <v>194</v>
      </c>
      <c r="B67" s="12" t="s">
        <v>195</v>
      </c>
      <c r="C67" s="7" t="s">
        <v>5</v>
      </c>
      <c r="D67" s="15">
        <v>0.0</v>
      </c>
      <c r="E67" s="8">
        <f>IF(A67="","",D67+SUMIFS('Movimentações'!$E$2:$E1000,'Movimentações'!$C$2:$C1000,A67,'Movimentações'!$B$2:$B1000,"Entrada")-SUMIFS('Movimentações'!$E$2:$E1000,'Movimentações'!$C$2:$C1000,A67,'Movimentações'!$B$2:$B1000,"Saída"))</f>
        <v>0</v>
      </c>
      <c r="F67" s="7">
        <v>2.0</v>
      </c>
      <c r="G67" s="8" t="str">
        <f t="shared" si="1"/>
        <v>🔴 REPOR</v>
      </c>
    </row>
    <row r="68" ht="15.75" customHeight="1">
      <c r="A68" s="7" t="s">
        <v>196</v>
      </c>
      <c r="B68" s="12" t="s">
        <v>197</v>
      </c>
      <c r="C68" s="7" t="s">
        <v>5</v>
      </c>
      <c r="D68" s="15">
        <v>1.0</v>
      </c>
      <c r="E68" s="8">
        <f>IF(A68="","",D68+SUMIFS('Movimentações'!$E$2:$E1000,'Movimentações'!$C$2:$C1000,A68,'Movimentações'!$B$2:$B1000,"Entrada")-SUMIFS('Movimentações'!$E$2:$E1000,'Movimentações'!$C$2:$C1000,A68,'Movimentações'!$B$2:$B1000,"Saída"))</f>
        <v>1</v>
      </c>
      <c r="F68" s="7">
        <v>1.0</v>
      </c>
      <c r="G68" s="8" t="str">
        <f t="shared" si="1"/>
        <v>🟡 ATENÇÃO</v>
      </c>
    </row>
    <row r="69" ht="15.75" customHeight="1">
      <c r="A69" s="7" t="s">
        <v>43</v>
      </c>
      <c r="B69" s="12" t="s">
        <v>198</v>
      </c>
      <c r="C69" s="7" t="s">
        <v>5</v>
      </c>
      <c r="D69" s="15">
        <v>27.0</v>
      </c>
      <c r="E69" s="8">
        <f>IF(A69="","",D69+SUMIFS('Movimentações'!$E$2:$E1000,'Movimentações'!$C$2:$C1000,A69,'Movimentações'!$B$2:$B1000,"Entrada")-SUMIFS('Movimentações'!$E$2:$E1000,'Movimentações'!$C$2:$C1000,A69,'Movimentações'!$B$2:$B1000,"Saída"))</f>
        <v>26</v>
      </c>
      <c r="F69" s="7">
        <v>12.0</v>
      </c>
      <c r="G69" s="8" t="str">
        <f t="shared" si="1"/>
        <v>🟢 NORMAL</v>
      </c>
    </row>
    <row r="70" ht="15.75" customHeight="1">
      <c r="A70" s="7" t="s">
        <v>199</v>
      </c>
      <c r="B70" s="12" t="s">
        <v>200</v>
      </c>
      <c r="C70" s="7" t="s">
        <v>5</v>
      </c>
      <c r="D70" s="15">
        <v>6.0</v>
      </c>
      <c r="E70" s="8">
        <f>IF(A70="","",D70+SUMIFS('Movimentações'!$E$2:$E1000,'Movimentações'!$C$2:$C1000,A70,'Movimentações'!$B$2:$B1000,"Entrada")-SUMIFS('Movimentações'!$E$2:$E1000,'Movimentações'!$C$2:$C1000,A70,'Movimentações'!$B$2:$B1000,"Saída"))</f>
        <v>6</v>
      </c>
      <c r="F70" s="7">
        <v>6.0</v>
      </c>
      <c r="G70" s="8" t="str">
        <f t="shared" si="1"/>
        <v>🟡 ATENÇÃO</v>
      </c>
    </row>
    <row r="71" ht="15.75" customHeight="1">
      <c r="A71" s="7" t="s">
        <v>201</v>
      </c>
      <c r="B71" s="12" t="s">
        <v>202</v>
      </c>
      <c r="C71" s="7" t="s">
        <v>5</v>
      </c>
      <c r="D71" s="15">
        <v>14.0</v>
      </c>
      <c r="E71" s="8">
        <f>IF(A71="","",D71+SUMIFS('Movimentações'!$E$2:$E1000,'Movimentações'!$C$2:$C1000,A71,'Movimentações'!$B$2:$B1000,"Entrada")-SUMIFS('Movimentações'!$E$2:$E1000,'Movimentações'!$C$2:$C1000,A71,'Movimentações'!$B$2:$B1000,"Saída"))</f>
        <v>14</v>
      </c>
      <c r="F71" s="7">
        <v>6.0</v>
      </c>
      <c r="G71" s="8" t="str">
        <f t="shared" si="1"/>
        <v>🟢 NORMAL</v>
      </c>
    </row>
    <row r="72" ht="15.75" customHeight="1">
      <c r="A72" s="7" t="s">
        <v>203</v>
      </c>
      <c r="B72" s="12" t="s">
        <v>204</v>
      </c>
      <c r="C72" s="7" t="s">
        <v>5</v>
      </c>
      <c r="D72" s="15">
        <v>13.0</v>
      </c>
      <c r="E72" s="8">
        <f>IF(A72="","",D72+SUMIFS('Movimentações'!$E$2:$E1000,'Movimentações'!$C$2:$C1000,A72,'Movimentações'!$B$2:$B1000,"Entrada")-SUMIFS('Movimentações'!$E$2:$E1000,'Movimentações'!$C$2:$C1000,A72,'Movimentações'!$B$2:$B1000,"Saída"))</f>
        <v>13</v>
      </c>
      <c r="F72" s="7">
        <v>6.0</v>
      </c>
      <c r="G72" s="8" t="str">
        <f t="shared" si="1"/>
        <v>🟢 NORMAL</v>
      </c>
    </row>
    <row r="73" ht="15.75" customHeight="1">
      <c r="A73" s="7" t="s">
        <v>205</v>
      </c>
      <c r="B73" s="12" t="s">
        <v>206</v>
      </c>
      <c r="C73" s="7" t="s">
        <v>5</v>
      </c>
      <c r="D73" s="15">
        <v>3.0</v>
      </c>
      <c r="E73" s="8">
        <f>IF(A73="","",D73+SUMIFS('Movimentações'!$E$2:$E1000,'Movimentações'!$C$2:$C1000,A73,'Movimentações'!$B$2:$B1000,"Entrada")-SUMIFS('Movimentações'!$E$2:$E1000,'Movimentações'!$C$2:$C1000,A73,'Movimentações'!$B$2:$B1000,"Saída"))</f>
        <v>3</v>
      </c>
      <c r="F73" s="7">
        <v>2.0</v>
      </c>
      <c r="G73" s="8" t="str">
        <f t="shared" si="1"/>
        <v>🟢 NORMAL</v>
      </c>
    </row>
    <row r="74" ht="15.75" customHeight="1">
      <c r="A74" s="7" t="s">
        <v>207</v>
      </c>
      <c r="B74" s="12" t="s">
        <v>208</v>
      </c>
      <c r="C74" s="7" t="s">
        <v>5</v>
      </c>
      <c r="D74" s="15">
        <v>3.0</v>
      </c>
      <c r="E74" s="8">
        <f>IF(A74="","",D74+SUMIFS('Movimentações'!$E$2:$E1000,'Movimentações'!$C$2:$C1000,A74,'Movimentações'!$B$2:$B1000,"Entrada")-SUMIFS('Movimentações'!$E$2:$E1000,'Movimentações'!$C$2:$C1000,A74,'Movimentações'!$B$2:$B1000,"Saída"))</f>
        <v>3</v>
      </c>
      <c r="F74" s="7">
        <v>4.0</v>
      </c>
      <c r="G74" s="8" t="str">
        <f t="shared" si="1"/>
        <v>🔴 REPOR</v>
      </c>
    </row>
    <row r="75" ht="15.75" customHeight="1">
      <c r="A75" s="7" t="s">
        <v>40</v>
      </c>
      <c r="B75" s="12" t="s">
        <v>209</v>
      </c>
      <c r="C75" s="7" t="s">
        <v>22</v>
      </c>
      <c r="D75" s="15">
        <v>54.0</v>
      </c>
      <c r="E75" s="8">
        <f>IF(A75="","",D75+SUMIFS('Movimentações'!$E$2:$E1000,'Movimentações'!$C$2:$C1000,A75,'Movimentações'!$B$2:$B1000,"Entrada")-SUMIFS('Movimentações'!$E$2:$E1000,'Movimentações'!$C$2:$C1000,A75,'Movimentações'!$B$2:$B1000,"Saída"))</f>
        <v>52</v>
      </c>
      <c r="F75" s="7">
        <v>25.0</v>
      </c>
      <c r="G75" s="8" t="str">
        <f t="shared" si="1"/>
        <v>🟢 NORMAL</v>
      </c>
    </row>
    <row r="76" ht="15.75" customHeight="1">
      <c r="A76" s="7" t="s">
        <v>41</v>
      </c>
      <c r="B76" s="12" t="s">
        <v>210</v>
      </c>
      <c r="C76" s="7" t="s">
        <v>211</v>
      </c>
      <c r="D76" s="15">
        <v>27.0</v>
      </c>
      <c r="E76" s="8">
        <f>IF(A76="","",D76+SUMIFS('Movimentações'!$E$2:$E1000,'Movimentações'!$C$2:$C1000,A76,'Movimentações'!$B$2:$B1000,"Entrada")-SUMIFS('Movimentações'!$E$2:$E1000,'Movimentações'!$C$2:$C1000,A76,'Movimentações'!$B$2:$B1000,"Saída"))</f>
        <v>26</v>
      </c>
      <c r="F76" s="7">
        <v>10.0</v>
      </c>
      <c r="G76" s="8" t="str">
        <f t="shared" si="1"/>
        <v>🟢 NORMAL</v>
      </c>
    </row>
    <row r="77" ht="15.75" customHeight="1">
      <c r="A77" s="7" t="s">
        <v>46</v>
      </c>
      <c r="B77" s="12" t="s">
        <v>212</v>
      </c>
      <c r="C77" s="7" t="s">
        <v>22</v>
      </c>
      <c r="D77" s="15">
        <v>61.0</v>
      </c>
      <c r="E77" s="8">
        <f>IF(A77="","",D77+SUMIFS('Movimentações'!$E$2:$E1000,'Movimentações'!$C$2:$C1000,A77,'Movimentações'!$B$2:$B1000,"Entrada")-SUMIFS('Movimentações'!$E$2:$E1000,'Movimentações'!$C$2:$C1000,A77,'Movimentações'!$B$2:$B1000,"Saída"))</f>
        <v>60</v>
      </c>
      <c r="F77" s="7">
        <v>25.0</v>
      </c>
      <c r="G77" s="8" t="str">
        <f t="shared" si="1"/>
        <v>🟢 NORMAL</v>
      </c>
    </row>
    <row r="78" ht="15.75" customHeight="1">
      <c r="A78" s="7" t="s">
        <v>37</v>
      </c>
      <c r="B78" s="12" t="s">
        <v>213</v>
      </c>
      <c r="C78" s="7" t="s">
        <v>22</v>
      </c>
      <c r="D78" s="15">
        <v>73.0</v>
      </c>
      <c r="E78" s="8">
        <f>IF(A78="","",D78+SUMIFS('Movimentações'!$E$2:$E1000,'Movimentações'!$C$2:$C1000,A78,'Movimentações'!$B$2:$B1000,"Entrada")-SUMIFS('Movimentações'!$E$2:$E1000,'Movimentações'!$C$2:$C1000,A78,'Movimentações'!$B$2:$B1000,"Saída"))</f>
        <v>71</v>
      </c>
      <c r="F78" s="7">
        <v>25.0</v>
      </c>
      <c r="G78" s="8" t="str">
        <f t="shared" si="1"/>
        <v>🟢 NORMAL</v>
      </c>
    </row>
    <row r="79" ht="15.75" customHeight="1">
      <c r="A79" s="7" t="s">
        <v>214</v>
      </c>
      <c r="B79" s="12" t="s">
        <v>215</v>
      </c>
      <c r="C79" s="7" t="s">
        <v>5</v>
      </c>
      <c r="D79" s="15">
        <v>7.0</v>
      </c>
      <c r="E79" s="8">
        <f>IF(A79="","",D79+SUMIFS('Movimentações'!$E$2:$E1000,'Movimentações'!$C$2:$C1000,A79,'Movimentações'!$B$2:$B1000,"Entrada")-SUMIFS('Movimentações'!$E$2:$E1000,'Movimentações'!$C$2:$C1000,A79,'Movimentações'!$B$2:$B1000,"Saída"))</f>
        <v>7</v>
      </c>
      <c r="F79" s="7">
        <v>4.0</v>
      </c>
      <c r="G79" s="8" t="str">
        <f t="shared" si="1"/>
        <v>🟢 NORMAL</v>
      </c>
    </row>
    <row r="80" ht="15.75" customHeight="1">
      <c r="A80" s="7" t="s">
        <v>216</v>
      </c>
      <c r="B80" s="12" t="s">
        <v>217</v>
      </c>
      <c r="C80" s="7" t="s">
        <v>5</v>
      </c>
      <c r="D80" s="15">
        <v>8.0</v>
      </c>
      <c r="E80" s="8">
        <f>IF(A80="","",D80+SUMIFS('Movimentações'!$E$2:$E1000,'Movimentações'!$C$2:$C1000,A80,'Movimentações'!$B$2:$B1000,"Entrada")-SUMIFS('Movimentações'!$E$2:$E1000,'Movimentações'!$C$2:$C1000,A80,'Movimentações'!$B$2:$B1000,"Saída"))</f>
        <v>8</v>
      </c>
      <c r="F80" s="7">
        <v>4.0</v>
      </c>
      <c r="G80" s="8" t="str">
        <f t="shared" si="1"/>
        <v>🟢 NORMAL</v>
      </c>
    </row>
    <row r="81" ht="15.75" customHeight="1">
      <c r="A81" s="7" t="s">
        <v>218</v>
      </c>
      <c r="B81" s="12" t="s">
        <v>219</v>
      </c>
      <c r="C81" s="7" t="s">
        <v>5</v>
      </c>
      <c r="D81" s="15">
        <v>1.0</v>
      </c>
      <c r="E81" s="8">
        <f>IF(A81="","",D81+SUMIFS('Movimentações'!$E$2:$E1000,'Movimentações'!$C$2:$C1000,A81,'Movimentações'!$B$2:$B1000,"Entrada")-SUMIFS('Movimentações'!$E$2:$E1000,'Movimentações'!$C$2:$C1000,A81,'Movimentações'!$B$2:$B1000,"Saída"))</f>
        <v>1</v>
      </c>
      <c r="F81" s="7">
        <v>2.0</v>
      </c>
      <c r="G81" s="8" t="str">
        <f t="shared" si="1"/>
        <v>🔴 REPOR</v>
      </c>
    </row>
    <row r="82" ht="15.75" customHeight="1">
      <c r="A82" s="7" t="s">
        <v>220</v>
      </c>
      <c r="B82" s="22" t="s">
        <v>221</v>
      </c>
      <c r="C82" s="7" t="s">
        <v>19</v>
      </c>
      <c r="D82" s="22">
        <v>0.0</v>
      </c>
      <c r="E82" s="8">
        <f>IF(A82="","",D82+SUMIFS('Movimentações'!$E$2:$E1000,'Movimentações'!$C$2:$C1000,A82,'Movimentações'!$B$2:$B1000,"Entrada")-SUMIFS('Movimentações'!$E$2:$E1000,'Movimentações'!$C$2:$C1000,A82,'Movimentações'!$B$2:$B1000,"Saída"))</f>
        <v>0</v>
      </c>
      <c r="F82" s="7">
        <v>2.0</v>
      </c>
      <c r="G82" s="8" t="str">
        <f t="shared" si="1"/>
        <v>🔴 REPOR</v>
      </c>
    </row>
    <row r="83" ht="15.75" customHeight="1">
      <c r="A83" s="7" t="s">
        <v>222</v>
      </c>
      <c r="B83" s="22" t="s">
        <v>223</v>
      </c>
      <c r="C83" s="7" t="s">
        <v>19</v>
      </c>
      <c r="D83" s="22">
        <v>0.0</v>
      </c>
      <c r="E83" s="8">
        <f>IF(A83="","",D83+SUMIFS('Movimentações'!$E$2:$E1000,'Movimentações'!$C$2:$C1000,A83,'Movimentações'!$B$2:$B1000,"Entrada")-SUMIFS('Movimentações'!$E$2:$E1000,'Movimentações'!$C$2:$C1000,A83,'Movimentações'!$B$2:$B1000,"Saída"))</f>
        <v>0</v>
      </c>
      <c r="F83" s="7">
        <v>2.0</v>
      </c>
      <c r="G83" s="8" t="str">
        <f t="shared" si="1"/>
        <v>🔴 REPOR</v>
      </c>
    </row>
    <row r="84" ht="15.75" customHeight="1">
      <c r="A84" s="7" t="s">
        <v>224</v>
      </c>
      <c r="B84" s="22" t="s">
        <v>225</v>
      </c>
      <c r="C84" s="7" t="s">
        <v>19</v>
      </c>
      <c r="D84" s="22">
        <v>0.0</v>
      </c>
      <c r="E84" s="8">
        <f>IF(A84="","",D84+SUMIFS('Movimentações'!$E$2:$E1000,'Movimentações'!$C$2:$C1000,A84,'Movimentações'!$B$2:$B1000,"Entrada")-SUMIFS('Movimentações'!$E$2:$E1000,'Movimentações'!$C$2:$C1000,A84,'Movimentações'!$B$2:$B1000,"Saída"))</f>
        <v>0</v>
      </c>
      <c r="F84" s="7">
        <v>4.0</v>
      </c>
      <c r="G84" s="8" t="str">
        <f t="shared" si="1"/>
        <v>🔴 REPOR</v>
      </c>
    </row>
    <row r="85" ht="15.75" customHeight="1">
      <c r="A85" s="7" t="s">
        <v>226</v>
      </c>
      <c r="B85" s="22" t="s">
        <v>227</v>
      </c>
      <c r="C85" s="7" t="s">
        <v>19</v>
      </c>
      <c r="D85" s="22">
        <v>0.0</v>
      </c>
      <c r="E85" s="8">
        <f>IF(A85="","",D85+SUMIFS('Movimentações'!$E$2:$E1000,'Movimentações'!$C$2:$C1000,A85,'Movimentações'!$B$2:$B1000,"Entrada")-SUMIFS('Movimentações'!$E$2:$E1000,'Movimentações'!$C$2:$C1000,A85,'Movimentações'!$B$2:$B1000,"Saída"))</f>
        <v>0</v>
      </c>
      <c r="F85" s="7">
        <v>2.0</v>
      </c>
      <c r="G85" s="8" t="str">
        <f t="shared" si="1"/>
        <v>🔴 REPOR</v>
      </c>
    </row>
    <row r="86" ht="15.75" customHeight="1">
      <c r="A86" s="7" t="s">
        <v>228</v>
      </c>
      <c r="B86" s="22" t="s">
        <v>229</v>
      </c>
      <c r="C86" s="7" t="s">
        <v>5</v>
      </c>
      <c r="D86" s="22">
        <v>0.0</v>
      </c>
      <c r="E86" s="8">
        <f>IF(A86="","",D86+SUMIFS('Movimentações'!$E$2:$E1000,'Movimentações'!$C$2:$C1000,A86,'Movimentações'!$B$2:$B1000,"Entrada")-SUMIFS('Movimentações'!$E$2:$E1000,'Movimentações'!$C$2:$C1000,A86,'Movimentações'!$B$2:$B1000,"Saída"))</f>
        <v>0</v>
      </c>
      <c r="F86" s="7">
        <v>12.0</v>
      </c>
      <c r="G86" s="8" t="str">
        <f t="shared" si="1"/>
        <v>🔴 REPOR</v>
      </c>
    </row>
    <row r="87" ht="15.75" customHeight="1">
      <c r="A87" s="7" t="s">
        <v>230</v>
      </c>
      <c r="B87" s="22" t="s">
        <v>231</v>
      </c>
      <c r="C87" s="7" t="s">
        <v>19</v>
      </c>
      <c r="D87" s="22">
        <v>0.0</v>
      </c>
      <c r="E87" s="8">
        <f>IF(A87="","",D87+SUMIFS('Movimentações'!$E$2:$E1000,'Movimentações'!$C$2:$C1000,A87,'Movimentações'!$B$2:$B1000,"Entrada")-SUMIFS('Movimentações'!$E$2:$E1000,'Movimentações'!$C$2:$C1000,A87,'Movimentações'!$B$2:$B1000,"Saída"))</f>
        <v>0</v>
      </c>
      <c r="F87" s="7">
        <v>2.0</v>
      </c>
      <c r="G87" s="8" t="str">
        <f t="shared" si="1"/>
        <v>🔴 REPOR</v>
      </c>
    </row>
    <row r="88" ht="15.75" customHeight="1">
      <c r="A88" s="7" t="s">
        <v>232</v>
      </c>
      <c r="B88" s="12" t="s">
        <v>233</v>
      </c>
      <c r="C88" s="7" t="s">
        <v>5</v>
      </c>
      <c r="D88" s="15">
        <v>1.0</v>
      </c>
      <c r="E88" s="8">
        <f>IF(A88="","",D88+SUMIFS('Movimentações'!$E$2:$E1000,'Movimentações'!$C$2:$C1000,A88,'Movimentações'!$B$2:$B1000,"Entrada")-SUMIFS('Movimentações'!$E$2:$E1000,'Movimentações'!$C$2:$C1000,A88,'Movimentações'!$B$2:$B1000,"Saída"))</f>
        <v>1</v>
      </c>
      <c r="F88" s="7">
        <v>2.0</v>
      </c>
      <c r="G88" s="8" t="str">
        <f t="shared" si="1"/>
        <v>🔴 REPOR</v>
      </c>
    </row>
    <row r="89" ht="15.75" customHeight="1">
      <c r="A89" s="7" t="s">
        <v>234</v>
      </c>
      <c r="B89" s="12" t="s">
        <v>235</v>
      </c>
      <c r="C89" s="7" t="s">
        <v>5</v>
      </c>
      <c r="D89" s="15">
        <v>4.0</v>
      </c>
      <c r="E89" s="8">
        <f>IF(A89="","",D89+SUMIFS('Movimentações'!$E$2:$E1000,'Movimentações'!$C$2:$C1000,A89,'Movimentações'!$B$2:$B1000,"Entrada")-SUMIFS('Movimentações'!$E$2:$E1000,'Movimentações'!$C$2:$C1000,A89,'Movimentações'!$B$2:$B1000,"Saída"))</f>
        <v>4</v>
      </c>
      <c r="F89" s="7">
        <v>2.0</v>
      </c>
      <c r="G89" s="8" t="str">
        <f t="shared" si="1"/>
        <v>🟢 NORMAL</v>
      </c>
    </row>
    <row r="90" ht="15.75" customHeight="1">
      <c r="A90" s="7" t="s">
        <v>236</v>
      </c>
      <c r="B90" s="12" t="s">
        <v>237</v>
      </c>
      <c r="C90" s="7" t="s">
        <v>5</v>
      </c>
      <c r="D90" s="15">
        <v>0.0</v>
      </c>
      <c r="E90" s="8">
        <f>IF(A90="","",D90+SUMIFS('Movimentações'!$E$2:$E1000,'Movimentações'!$C$2:$C1000,A90,'Movimentações'!$B$2:$B1000,"Entrada")-SUMIFS('Movimentações'!$E$2:$E1000,'Movimentações'!$C$2:$C1000,A90,'Movimentações'!$B$2:$B1000,"Saída"))</f>
        <v>0</v>
      </c>
      <c r="F90" s="7">
        <v>2.0</v>
      </c>
      <c r="G90" s="8" t="str">
        <f t="shared" si="1"/>
        <v>🔴 REPOR</v>
      </c>
    </row>
    <row r="91" ht="15.75" customHeight="1">
      <c r="A91" s="7" t="s">
        <v>238</v>
      </c>
      <c r="B91" s="12" t="s">
        <v>239</v>
      </c>
      <c r="C91" s="7" t="s">
        <v>5</v>
      </c>
      <c r="D91" s="15">
        <v>2.0</v>
      </c>
      <c r="E91" s="8">
        <f>IF(A91="","",D91+SUMIFS('Movimentações'!$E$2:$E1000,'Movimentações'!$C$2:$C1000,A91,'Movimentações'!$B$2:$B1000,"Entrada")-SUMIFS('Movimentações'!$E$2:$E1000,'Movimentações'!$C$2:$C1000,A91,'Movimentações'!$B$2:$B1000,"Saída"))</f>
        <v>2</v>
      </c>
      <c r="F91" s="7">
        <v>0.0</v>
      </c>
      <c r="G91" s="8" t="str">
        <f t="shared" si="1"/>
        <v>🟢 NORMAL</v>
      </c>
    </row>
    <row r="92" ht="15.75" customHeight="1">
      <c r="A92" s="7" t="s">
        <v>240</v>
      </c>
      <c r="B92" s="10" t="s">
        <v>241</v>
      </c>
      <c r="C92" s="7" t="s">
        <v>5</v>
      </c>
      <c r="D92" s="11">
        <v>9.0</v>
      </c>
      <c r="E92" s="8">
        <f>IF(A92="","",D92+SUMIFS('Movimentações'!$E$2:$E1000,'Movimentações'!$C$2:$C1000,A92,'Movimentações'!$B$2:$B1000,"Entrada")-SUMIFS('Movimentações'!$E$2:$E1000,'Movimentações'!$C$2:$C1000,A92,'Movimentações'!$B$2:$B1000,"Saída"))</f>
        <v>9</v>
      </c>
      <c r="F92" s="7">
        <v>0.0</v>
      </c>
      <c r="G92" s="8" t="str">
        <f t="shared" si="1"/>
        <v>🟢 NORMAL</v>
      </c>
    </row>
    <row r="93" ht="15.75" customHeight="1">
      <c r="A93" s="7" t="s">
        <v>242</v>
      </c>
      <c r="B93" s="10" t="s">
        <v>243</v>
      </c>
      <c r="C93" s="7" t="s">
        <v>5</v>
      </c>
      <c r="D93" s="11">
        <v>5.0</v>
      </c>
      <c r="E93" s="8">
        <f>IF(A93="","",D93+SUMIFS('Movimentações'!$E$2:$E1000,'Movimentações'!$C$2:$C1000,A93,'Movimentações'!$B$2:$B1000,"Entrada")-SUMIFS('Movimentações'!$E$2:$E1000,'Movimentações'!$C$2:$C1000,A93,'Movimentações'!$B$2:$B1000,"Saída"))</f>
        <v>5</v>
      </c>
      <c r="F93" s="7">
        <v>0.0</v>
      </c>
      <c r="G93" s="8" t="str">
        <f t="shared" si="1"/>
        <v>🟢 NORMAL</v>
      </c>
    </row>
    <row r="94" ht="15.75" customHeight="1">
      <c r="A94" s="7" t="s">
        <v>244</v>
      </c>
      <c r="B94" s="10" t="s">
        <v>245</v>
      </c>
      <c r="C94" s="7" t="s">
        <v>5</v>
      </c>
      <c r="D94" s="11">
        <v>5.0</v>
      </c>
      <c r="E94" s="8">
        <f>IF(A94="","",D94+SUMIFS('Movimentações'!$E$2:$E1000,'Movimentações'!$C$2:$C1000,A94,'Movimentações'!$B$2:$B1000,"Entrada")-SUMIFS('Movimentações'!$E$2:$E1000,'Movimentações'!$C$2:$C1000,A94,'Movimentações'!$B$2:$B1000,"Saída"))</f>
        <v>5</v>
      </c>
      <c r="F94" s="7">
        <v>0.0</v>
      </c>
      <c r="G94" s="8" t="str">
        <f t="shared" si="1"/>
        <v>🟢 NORMAL</v>
      </c>
    </row>
    <row r="95" ht="15.75" customHeight="1">
      <c r="A95" s="7" t="s">
        <v>246</v>
      </c>
      <c r="B95" s="10" t="s">
        <v>247</v>
      </c>
      <c r="C95" s="7" t="s">
        <v>5</v>
      </c>
      <c r="D95" s="11">
        <v>5.0</v>
      </c>
      <c r="E95" s="8">
        <f>IF(A95="","",D95+SUMIFS('Movimentações'!$E$2:$E1000,'Movimentações'!$C$2:$C1000,A95,'Movimentações'!$B$2:$B1000,"Entrada")-SUMIFS('Movimentações'!$E$2:$E1000,'Movimentações'!$C$2:$C1000,A95,'Movimentações'!$B$2:$B1000,"Saída"))</f>
        <v>5</v>
      </c>
      <c r="F95" s="7">
        <v>0.0</v>
      </c>
      <c r="G95" s="8" t="str">
        <f t="shared" si="1"/>
        <v>🟢 NORMAL</v>
      </c>
    </row>
    <row r="96" ht="15.75" customHeight="1">
      <c r="A96" s="7" t="s">
        <v>248</v>
      </c>
      <c r="B96" s="10" t="s">
        <v>249</v>
      </c>
      <c r="C96" s="7" t="s">
        <v>5</v>
      </c>
      <c r="D96" s="11">
        <v>22.0</v>
      </c>
      <c r="E96" s="8">
        <f>IF(A96="","",D96+SUMIFS('Movimentações'!$E$2:$E1000,'Movimentações'!$C$2:$C1000,A96,'Movimentações'!$B$2:$B1000,"Entrada")-SUMIFS('Movimentações'!$E$2:$E1000,'Movimentações'!$C$2:$C1000,A96,'Movimentações'!$B$2:$B1000,"Saída"))</f>
        <v>22</v>
      </c>
      <c r="F96" s="7">
        <v>0.0</v>
      </c>
      <c r="G96" s="8" t="str">
        <f t="shared" si="1"/>
        <v>🟢 NORMAL</v>
      </c>
    </row>
    <row r="97" ht="15.75" customHeight="1">
      <c r="A97" s="7" t="s">
        <v>250</v>
      </c>
      <c r="B97" s="26" t="s">
        <v>251</v>
      </c>
      <c r="C97" s="7" t="s">
        <v>5</v>
      </c>
      <c r="D97" s="11">
        <v>21.0</v>
      </c>
      <c r="E97" s="8">
        <f>IF(A97="","",D97+SUMIFS('Movimentações'!$E$2:$E1000,'Movimentações'!$C$2:$C1000,A97,'Movimentações'!$B$2:$B1000,"Entrada")-SUMIFS('Movimentações'!$E$2:$E1000,'Movimentações'!$C$2:$C1000,A97,'Movimentações'!$B$2:$B1000,"Saída"))</f>
        <v>21</v>
      </c>
      <c r="F97" s="7">
        <v>0.0</v>
      </c>
      <c r="G97" s="8" t="str">
        <f t="shared" si="1"/>
        <v>🟢 NORMAL</v>
      </c>
    </row>
    <row r="98" ht="15.75" customHeight="1">
      <c r="A98" s="8"/>
      <c r="B98" s="8"/>
      <c r="C98" s="8"/>
      <c r="D98" s="8"/>
      <c r="E98" s="8" t="str">
        <f>IF(A98="","",D98+SUMIFS('Movimentações'!$E$2:$E1000,'Movimentações'!$C$2:$C1000,A98,'Movimentações'!$B$2:$B1000,"Entrada")-SUMIFS('Movimentações'!$E$2:$E1000,'Movimentações'!$C$2:$C1000,A98,'Movimentações'!$B$2:$B1000,"Saída"))</f>
        <v/>
      </c>
      <c r="F98" s="8" t="str">
        <f t="shared" ref="F98:F501" si="2">IF(A98="","",IF(E98&lt;F98,"🔴 REPOR",IF(E98=F98,"🟡 ATENÇÃO","🟢 NORMAL")))</f>
        <v/>
      </c>
      <c r="G98" s="8" t="str">
        <f t="shared" si="1"/>
        <v/>
      </c>
    </row>
    <row r="99" ht="15.75" customHeight="1">
      <c r="A99" s="8"/>
      <c r="B99" s="8"/>
      <c r="C99" s="8"/>
      <c r="D99" s="8"/>
      <c r="E99" s="8" t="str">
        <f>IF(A99="","",D99+SUMIFS('Movimentações'!$E$2:$E1000,'Movimentações'!$C$2:$C1000,A99,'Movimentações'!$B$2:$B1000,"Entrada")-SUMIFS('Movimentações'!$E$2:$E1000,'Movimentações'!$C$2:$C1000,A99,'Movimentações'!$B$2:$B1000,"Saída"))</f>
        <v/>
      </c>
      <c r="F99" s="8" t="str">
        <f t="shared" si="2"/>
        <v/>
      </c>
      <c r="G99" s="8" t="str">
        <f t="shared" si="1"/>
        <v/>
      </c>
    </row>
    <row r="100" ht="15.75" customHeight="1">
      <c r="A100" s="8"/>
      <c r="B100" s="8"/>
      <c r="C100" s="8"/>
      <c r="D100" s="8"/>
      <c r="E100" s="8" t="str">
        <f>IF(A100="","",D100+SUMIFS('Movimentações'!$E$2:$E1000,'Movimentações'!$C$2:$C1000,A100,'Movimentações'!$B$2:$B1000,"Entrada")-SUMIFS('Movimentações'!$E$2:$E1000,'Movimentações'!$C$2:$C1000,A100,'Movimentações'!$B$2:$B1000,"Saída"))</f>
        <v/>
      </c>
      <c r="F100" s="8" t="str">
        <f t="shared" si="2"/>
        <v/>
      </c>
      <c r="G100" s="8" t="str">
        <f t="shared" si="1"/>
        <v/>
      </c>
    </row>
    <row r="101" ht="15.75" customHeight="1">
      <c r="A101" s="8"/>
      <c r="B101" s="8"/>
      <c r="C101" s="8"/>
      <c r="D101" s="8"/>
      <c r="E101" s="8" t="str">
        <f>IF(A101="","",D101+SUMIFS('Movimentações'!$E$2:$E1000,'Movimentações'!$C$2:$C1000,A101,'Movimentações'!$B$2:$B1000,"Entrada")-SUMIFS('Movimentações'!$E$2:$E1000,'Movimentações'!$C$2:$C1000,A101,'Movimentações'!$B$2:$B1000,"Saída"))</f>
        <v/>
      </c>
      <c r="F101" s="8" t="str">
        <f t="shared" si="2"/>
        <v/>
      </c>
      <c r="G101" s="8" t="str">
        <f t="shared" si="1"/>
        <v/>
      </c>
    </row>
    <row r="102" ht="15.75" customHeight="1">
      <c r="A102" s="8"/>
      <c r="B102" s="8"/>
      <c r="C102" s="8"/>
      <c r="D102" s="8"/>
      <c r="E102" s="8" t="str">
        <f>IF(A102="","",D102+SUMIFS('Movimentações'!$E$2:$E1000,'Movimentações'!$C$2:$C1000,A102,'Movimentações'!$B$2:$B1000,"Entrada")-SUMIFS('Movimentações'!$E$2:$E1000,'Movimentações'!$C$2:$C1000,A102,'Movimentações'!$B$2:$B1000,"Saída"))</f>
        <v/>
      </c>
      <c r="F102" s="8" t="str">
        <f t="shared" si="2"/>
        <v/>
      </c>
      <c r="G102" s="8" t="str">
        <f t="shared" si="1"/>
        <v/>
      </c>
    </row>
    <row r="103" ht="15.75" customHeight="1">
      <c r="A103" s="8"/>
      <c r="B103" s="8"/>
      <c r="C103" s="8"/>
      <c r="D103" s="8"/>
      <c r="E103" s="8" t="str">
        <f>IF(A103="","",D103+SUMIFS('Movimentações'!$E$2:$E1000,'Movimentações'!$C$2:$C1000,A103,'Movimentações'!$B$2:$B1000,"Entrada")-SUMIFS('Movimentações'!$E$2:$E1000,'Movimentações'!$C$2:$C1000,A103,'Movimentações'!$B$2:$B1000,"Saída"))</f>
        <v/>
      </c>
      <c r="F103" s="8" t="str">
        <f t="shared" si="2"/>
        <v/>
      </c>
      <c r="G103" s="8" t="str">
        <f t="shared" si="1"/>
        <v/>
      </c>
    </row>
    <row r="104" ht="15.75" customHeight="1">
      <c r="A104" s="8"/>
      <c r="B104" s="8"/>
      <c r="C104" s="8"/>
      <c r="D104" s="8"/>
      <c r="E104" s="8" t="str">
        <f>IF(A104="","",D104+SUMIFS('Movimentações'!$E$2:$E1000,'Movimentações'!$C$2:$C1000,A104,'Movimentações'!$B$2:$B1000,"Entrada")-SUMIFS('Movimentações'!$E$2:$E1000,'Movimentações'!$C$2:$C1000,A104,'Movimentações'!$B$2:$B1000,"Saída"))</f>
        <v/>
      </c>
      <c r="F104" s="8" t="str">
        <f t="shared" si="2"/>
        <v/>
      </c>
      <c r="G104" s="8" t="str">
        <f t="shared" si="1"/>
        <v/>
      </c>
    </row>
    <row r="105" ht="15.75" customHeight="1">
      <c r="A105" s="8"/>
      <c r="B105" s="8"/>
      <c r="C105" s="8"/>
      <c r="D105" s="8"/>
      <c r="E105" s="8" t="str">
        <f>IF(A105="","",D105+SUMIFS('Movimentações'!$E$2:$E1000,'Movimentações'!$C$2:$C1000,A105,'Movimentações'!$B$2:$B1000,"Entrada")-SUMIFS('Movimentações'!$E$2:$E1000,'Movimentações'!$C$2:$C1000,A105,'Movimentações'!$B$2:$B1000,"Saída"))</f>
        <v/>
      </c>
      <c r="F105" s="8" t="str">
        <f t="shared" si="2"/>
        <v/>
      </c>
      <c r="G105" s="8" t="str">
        <f t="shared" si="1"/>
        <v/>
      </c>
    </row>
    <row r="106" ht="15.75" customHeight="1">
      <c r="A106" s="8"/>
      <c r="B106" s="8"/>
      <c r="C106" s="8"/>
      <c r="D106" s="8"/>
      <c r="E106" s="8" t="str">
        <f>IF(A106="","",D106+SUMIFS('Movimentações'!$E$2:$E1000,'Movimentações'!$C$2:$C1000,A106,'Movimentações'!$B$2:$B1000,"Entrada")-SUMIFS('Movimentações'!$E$2:$E1000,'Movimentações'!$C$2:$C1000,A106,'Movimentações'!$B$2:$B1000,"Saída"))</f>
        <v/>
      </c>
      <c r="F106" s="8" t="str">
        <f t="shared" si="2"/>
        <v/>
      </c>
      <c r="G106" s="8" t="str">
        <f t="shared" si="1"/>
        <v/>
      </c>
    </row>
    <row r="107" ht="15.75" customHeight="1">
      <c r="A107" s="8"/>
      <c r="B107" s="8"/>
      <c r="C107" s="8"/>
      <c r="D107" s="8"/>
      <c r="E107" s="8" t="str">
        <f>IF(A107="","",D107+SUMIFS('Movimentações'!$E$2:$E1000,'Movimentações'!$C$2:$C1000,A107,'Movimentações'!$B$2:$B1000,"Entrada")-SUMIFS('Movimentações'!$E$2:$E1000,'Movimentações'!$C$2:$C1000,A107,'Movimentações'!$B$2:$B1000,"Saída"))</f>
        <v/>
      </c>
      <c r="F107" s="8" t="str">
        <f t="shared" si="2"/>
        <v/>
      </c>
      <c r="G107" s="8" t="str">
        <f t="shared" si="1"/>
        <v/>
      </c>
    </row>
    <row r="108" ht="15.75" customHeight="1">
      <c r="A108" s="8"/>
      <c r="B108" s="8"/>
      <c r="C108" s="8"/>
      <c r="D108" s="8"/>
      <c r="E108" s="8" t="str">
        <f>IF(A108="","",D108+SUMIFS('Movimentações'!$E$2:$E1000,'Movimentações'!$C$2:$C1000,A108,'Movimentações'!$B$2:$B1000,"Entrada")-SUMIFS('Movimentações'!$E$2:$E1000,'Movimentações'!$C$2:$C1000,A108,'Movimentações'!$B$2:$B1000,"Saída"))</f>
        <v/>
      </c>
      <c r="F108" s="8" t="str">
        <f t="shared" si="2"/>
        <v/>
      </c>
      <c r="G108" s="8" t="str">
        <f t="shared" si="1"/>
        <v/>
      </c>
    </row>
    <row r="109" ht="15.75" customHeight="1">
      <c r="A109" s="8"/>
      <c r="B109" s="8"/>
      <c r="C109" s="8"/>
      <c r="D109" s="8"/>
      <c r="E109" s="8" t="str">
        <f>IF(A109="","",D109+SUMIFS('Movimentações'!$E$2:$E1000,'Movimentações'!$C$2:$C1000,A109,'Movimentações'!$B$2:$B1000,"Entrada")-SUMIFS('Movimentações'!$E$2:$E1000,'Movimentações'!$C$2:$C1000,A109,'Movimentações'!$B$2:$B1000,"Saída"))</f>
        <v/>
      </c>
      <c r="F109" s="8" t="str">
        <f t="shared" si="2"/>
        <v/>
      </c>
      <c r="G109" s="8" t="str">
        <f t="shared" si="1"/>
        <v/>
      </c>
    </row>
    <row r="110" ht="15.75" customHeight="1">
      <c r="A110" s="8"/>
      <c r="B110" s="8"/>
      <c r="C110" s="8"/>
      <c r="D110" s="8"/>
      <c r="E110" s="8" t="str">
        <f>IF(A110="","",D110+SUMIFS('Movimentações'!$E$2:$E1000,'Movimentações'!$C$2:$C1000,A110,'Movimentações'!$B$2:$B1000,"Entrada")-SUMIFS('Movimentações'!$E$2:$E1000,'Movimentações'!$C$2:$C1000,A110,'Movimentações'!$B$2:$B1000,"Saída"))</f>
        <v/>
      </c>
      <c r="F110" s="8" t="str">
        <f t="shared" si="2"/>
        <v/>
      </c>
      <c r="G110" s="8" t="str">
        <f t="shared" si="1"/>
        <v/>
      </c>
    </row>
    <row r="111" ht="15.75" customHeight="1">
      <c r="A111" s="8"/>
      <c r="B111" s="8"/>
      <c r="C111" s="8"/>
      <c r="D111" s="8"/>
      <c r="E111" s="8" t="str">
        <f>IF(A111="","",D111+SUMIFS('Movimentações'!$E$2:$E1000,'Movimentações'!$C$2:$C1000,A111,'Movimentações'!$B$2:$B1000,"Entrada")-SUMIFS('Movimentações'!$E$2:$E1000,'Movimentações'!$C$2:$C1000,A111,'Movimentações'!$B$2:$B1000,"Saída"))</f>
        <v/>
      </c>
      <c r="F111" s="8" t="str">
        <f t="shared" si="2"/>
        <v/>
      </c>
      <c r="G111" s="8" t="str">
        <f t="shared" si="1"/>
        <v/>
      </c>
    </row>
    <row r="112" ht="15.75" customHeight="1">
      <c r="A112" s="8"/>
      <c r="B112" s="8"/>
      <c r="C112" s="8"/>
      <c r="D112" s="8"/>
      <c r="E112" s="8" t="str">
        <f>IF(A112="","",D112+SUMIFS('Movimentações'!$E$2:$E1000,'Movimentações'!$C$2:$C1000,A112,'Movimentações'!$B$2:$B1000,"Entrada")-SUMIFS('Movimentações'!$E$2:$E1000,'Movimentações'!$C$2:$C1000,A112,'Movimentações'!$B$2:$B1000,"Saída"))</f>
        <v/>
      </c>
      <c r="F112" s="8" t="str">
        <f t="shared" si="2"/>
        <v/>
      </c>
      <c r="G112" s="8" t="str">
        <f t="shared" si="1"/>
        <v/>
      </c>
    </row>
    <row r="113" ht="15.75" customHeight="1">
      <c r="A113" s="8"/>
      <c r="B113" s="8"/>
      <c r="C113" s="8"/>
      <c r="D113" s="8"/>
      <c r="E113" s="8" t="str">
        <f>IF(A113="","",D113+SUMIFS('Movimentações'!$E$2:$E1000,'Movimentações'!$C$2:$C1000,A113,'Movimentações'!$B$2:$B1000,"Entrada")-SUMIFS('Movimentações'!$E$2:$E1000,'Movimentações'!$C$2:$C1000,A113,'Movimentações'!$B$2:$B1000,"Saída"))</f>
        <v/>
      </c>
      <c r="F113" s="8" t="str">
        <f t="shared" si="2"/>
        <v/>
      </c>
      <c r="G113" s="8" t="str">
        <f t="shared" si="1"/>
        <v/>
      </c>
    </row>
    <row r="114" ht="15.75" customHeight="1">
      <c r="A114" s="8"/>
      <c r="B114" s="8"/>
      <c r="C114" s="8"/>
      <c r="D114" s="8"/>
      <c r="E114" s="8" t="str">
        <f>IF(A114="","",D114+SUMIFS('Movimentações'!$E$2:$E1000,'Movimentações'!$C$2:$C1000,A114,'Movimentações'!$B$2:$B1000,"Entrada")-SUMIFS('Movimentações'!$E$2:$E1000,'Movimentações'!$C$2:$C1000,A114,'Movimentações'!$B$2:$B1000,"Saída"))</f>
        <v/>
      </c>
      <c r="F114" s="8" t="str">
        <f t="shared" si="2"/>
        <v/>
      </c>
      <c r="G114" s="8" t="str">
        <f t="shared" si="1"/>
        <v/>
      </c>
    </row>
    <row r="115" ht="15.75" customHeight="1">
      <c r="A115" s="8"/>
      <c r="B115" s="8"/>
      <c r="C115" s="8"/>
      <c r="D115" s="8"/>
      <c r="E115" s="8" t="str">
        <f>IF(A115="","",D115+SUMIFS('Movimentações'!$E$2:$E1000,'Movimentações'!$C$2:$C1000,A115,'Movimentações'!$B$2:$B1000,"Entrada")-SUMIFS('Movimentações'!$E$2:$E1000,'Movimentações'!$C$2:$C1000,A115,'Movimentações'!$B$2:$B1000,"Saída"))</f>
        <v/>
      </c>
      <c r="F115" s="8" t="str">
        <f t="shared" si="2"/>
        <v/>
      </c>
      <c r="G115" s="8" t="str">
        <f t="shared" si="1"/>
        <v/>
      </c>
    </row>
    <row r="116" ht="15.75" customHeight="1">
      <c r="A116" s="8"/>
      <c r="B116" s="8"/>
      <c r="C116" s="8"/>
      <c r="D116" s="8"/>
      <c r="E116" s="8" t="str">
        <f>IF(A116="","",D116+SUMIFS('Movimentações'!$E$2:$E1000,'Movimentações'!$C$2:$C1000,A116,'Movimentações'!$B$2:$B1000,"Entrada")-SUMIFS('Movimentações'!$E$2:$E1000,'Movimentações'!$C$2:$C1000,A116,'Movimentações'!$B$2:$B1000,"Saída"))</f>
        <v/>
      </c>
      <c r="F116" s="8" t="str">
        <f t="shared" si="2"/>
        <v/>
      </c>
      <c r="G116" s="8" t="str">
        <f t="shared" si="1"/>
        <v/>
      </c>
    </row>
    <row r="117" ht="15.75" customHeight="1">
      <c r="A117" s="8"/>
      <c r="B117" s="8"/>
      <c r="C117" s="8"/>
      <c r="D117" s="8"/>
      <c r="E117" s="8" t="str">
        <f>IF(A117="","",D117+SUMIFS('Movimentações'!$E$2:$E1000,'Movimentações'!$C$2:$C1000,A117,'Movimentações'!$B$2:$B1000,"Entrada")-SUMIFS('Movimentações'!$E$2:$E1000,'Movimentações'!$C$2:$C1000,A117,'Movimentações'!$B$2:$B1000,"Saída"))</f>
        <v/>
      </c>
      <c r="F117" s="8" t="str">
        <f t="shared" si="2"/>
        <v/>
      </c>
      <c r="G117" s="8" t="str">
        <f t="shared" si="1"/>
        <v/>
      </c>
    </row>
    <row r="118" ht="15.75" customHeight="1">
      <c r="A118" s="8"/>
      <c r="B118" s="8"/>
      <c r="C118" s="8"/>
      <c r="D118" s="8"/>
      <c r="E118" s="8" t="str">
        <f>IF(A118="","",D118+SUMIFS('Movimentações'!$E$2:$E1000,'Movimentações'!$C$2:$C1000,A118,'Movimentações'!$B$2:$B1000,"Entrada")-SUMIFS('Movimentações'!$E$2:$E1000,'Movimentações'!$C$2:$C1000,A118,'Movimentações'!$B$2:$B1000,"Saída"))</f>
        <v/>
      </c>
      <c r="F118" s="8" t="str">
        <f t="shared" si="2"/>
        <v/>
      </c>
      <c r="G118" s="8" t="str">
        <f t="shared" si="1"/>
        <v/>
      </c>
    </row>
    <row r="119" ht="15.75" customHeight="1">
      <c r="A119" s="8"/>
      <c r="B119" s="8"/>
      <c r="C119" s="8"/>
      <c r="D119" s="8"/>
      <c r="E119" s="8" t="str">
        <f>IF(A119="","",D119+SUMIFS('Movimentações'!$E$2:$E1000,'Movimentações'!$C$2:$C1000,A119,'Movimentações'!$B$2:$B1000,"Entrada")-SUMIFS('Movimentações'!$E$2:$E1000,'Movimentações'!$C$2:$C1000,A119,'Movimentações'!$B$2:$B1000,"Saída"))</f>
        <v/>
      </c>
      <c r="F119" s="8" t="str">
        <f t="shared" si="2"/>
        <v/>
      </c>
      <c r="G119" s="8" t="str">
        <f t="shared" si="1"/>
        <v/>
      </c>
    </row>
    <row r="120" ht="15.75" customHeight="1">
      <c r="A120" s="8"/>
      <c r="B120" s="8"/>
      <c r="C120" s="8"/>
      <c r="D120" s="8"/>
      <c r="E120" s="8" t="str">
        <f>IF(A120="","",D120+SUMIFS('Movimentações'!$E$2:$E1000,'Movimentações'!$C$2:$C1000,A120,'Movimentações'!$B$2:$B1000,"Entrada")-SUMIFS('Movimentações'!$E$2:$E1000,'Movimentações'!$C$2:$C1000,A120,'Movimentações'!$B$2:$B1000,"Saída"))</f>
        <v/>
      </c>
      <c r="F120" s="8" t="str">
        <f t="shared" si="2"/>
        <v/>
      </c>
      <c r="G120" s="8" t="str">
        <f t="shared" si="1"/>
        <v/>
      </c>
    </row>
    <row r="121" ht="15.75" customHeight="1">
      <c r="A121" s="8"/>
      <c r="B121" s="8"/>
      <c r="C121" s="8"/>
      <c r="D121" s="8"/>
      <c r="E121" s="8" t="str">
        <f>IF(A121="","",D121+SUMIFS('Movimentações'!$E$2:$E1000,'Movimentações'!$C$2:$C1000,A121,'Movimentações'!$B$2:$B1000,"Entrada")-SUMIFS('Movimentações'!$E$2:$E1000,'Movimentações'!$C$2:$C1000,A121,'Movimentações'!$B$2:$B1000,"Saída"))</f>
        <v/>
      </c>
      <c r="F121" s="8" t="str">
        <f t="shared" si="2"/>
        <v/>
      </c>
      <c r="G121" s="8" t="str">
        <f t="shared" si="1"/>
        <v/>
      </c>
    </row>
    <row r="122" ht="15.75" customHeight="1">
      <c r="A122" s="8"/>
      <c r="B122" s="8"/>
      <c r="C122" s="8"/>
      <c r="D122" s="8"/>
      <c r="E122" s="8" t="str">
        <f>IF(A122="","",D122+SUMIFS('Movimentações'!$E$2:$E1000,'Movimentações'!$C$2:$C1000,A122,'Movimentações'!$B$2:$B1000,"Entrada")-SUMIFS('Movimentações'!$E$2:$E1000,'Movimentações'!$C$2:$C1000,A122,'Movimentações'!$B$2:$B1000,"Saída"))</f>
        <v/>
      </c>
      <c r="F122" s="8" t="str">
        <f t="shared" si="2"/>
        <v/>
      </c>
      <c r="G122" s="8" t="str">
        <f t="shared" si="1"/>
        <v/>
      </c>
    </row>
    <row r="123" ht="15.75" customHeight="1">
      <c r="A123" s="8"/>
      <c r="B123" s="8"/>
      <c r="C123" s="8"/>
      <c r="D123" s="8"/>
      <c r="E123" s="8" t="str">
        <f>IF(A123="","",D123+SUMIFS('Movimentações'!$E$2:$E1000,'Movimentações'!$C$2:$C1000,A123,'Movimentações'!$B$2:$B1000,"Entrada")-SUMIFS('Movimentações'!$E$2:$E1000,'Movimentações'!$C$2:$C1000,A123,'Movimentações'!$B$2:$B1000,"Saída"))</f>
        <v/>
      </c>
      <c r="F123" s="8" t="str">
        <f t="shared" si="2"/>
        <v/>
      </c>
      <c r="G123" s="8" t="str">
        <f t="shared" si="1"/>
        <v/>
      </c>
    </row>
    <row r="124" ht="15.75" customHeight="1">
      <c r="A124" s="8"/>
      <c r="B124" s="8"/>
      <c r="C124" s="8"/>
      <c r="D124" s="8"/>
      <c r="E124" s="8" t="str">
        <f>IF(A124="","",D124+SUMIFS('Movimentações'!$E$2:$E1000,'Movimentações'!$C$2:$C1000,A124,'Movimentações'!$B$2:$B1000,"Entrada")-SUMIFS('Movimentações'!$E$2:$E1000,'Movimentações'!$C$2:$C1000,A124,'Movimentações'!$B$2:$B1000,"Saída"))</f>
        <v/>
      </c>
      <c r="F124" s="8" t="str">
        <f t="shared" si="2"/>
        <v/>
      </c>
      <c r="G124" s="8" t="str">
        <f t="shared" si="1"/>
        <v/>
      </c>
    </row>
    <row r="125" ht="15.75" customHeight="1">
      <c r="A125" s="8"/>
      <c r="B125" s="8"/>
      <c r="C125" s="8"/>
      <c r="D125" s="8"/>
      <c r="E125" s="8" t="str">
        <f>IF(A125="","",D125+SUMIFS('Movimentações'!$E$2:$E1000,'Movimentações'!$C$2:$C1000,A125,'Movimentações'!$B$2:$B1000,"Entrada")-SUMIFS('Movimentações'!$E$2:$E1000,'Movimentações'!$C$2:$C1000,A125,'Movimentações'!$B$2:$B1000,"Saída"))</f>
        <v/>
      </c>
      <c r="F125" s="8" t="str">
        <f t="shared" si="2"/>
        <v/>
      </c>
      <c r="G125" s="8" t="str">
        <f t="shared" si="1"/>
        <v/>
      </c>
    </row>
    <row r="126" ht="15.75" customHeight="1">
      <c r="A126" s="8"/>
      <c r="B126" s="8"/>
      <c r="C126" s="8"/>
      <c r="D126" s="8"/>
      <c r="E126" s="8" t="str">
        <f>IF(A126="","",D126+SUMIFS('Movimentações'!$E$2:$E1000,'Movimentações'!$C$2:$C1000,A126,'Movimentações'!$B$2:$B1000,"Entrada")-SUMIFS('Movimentações'!$E$2:$E1000,'Movimentações'!$C$2:$C1000,A126,'Movimentações'!$B$2:$B1000,"Saída"))</f>
        <v/>
      </c>
      <c r="F126" s="8" t="str">
        <f t="shared" si="2"/>
        <v/>
      </c>
      <c r="G126" s="8" t="str">
        <f t="shared" si="1"/>
        <v/>
      </c>
    </row>
    <row r="127" ht="15.75" customHeight="1">
      <c r="A127" s="8"/>
      <c r="B127" s="8"/>
      <c r="C127" s="8"/>
      <c r="D127" s="8"/>
      <c r="E127" s="8" t="str">
        <f>IF(A127="","",D127+SUMIFS('Movimentações'!$E$2:$E1000,'Movimentações'!$C$2:$C1000,A127,'Movimentações'!$B$2:$B1000,"Entrada")-SUMIFS('Movimentações'!$E$2:$E1000,'Movimentações'!$C$2:$C1000,A127,'Movimentações'!$B$2:$B1000,"Saída"))</f>
        <v/>
      </c>
      <c r="F127" s="8" t="str">
        <f t="shared" si="2"/>
        <v/>
      </c>
      <c r="G127" s="8" t="str">
        <f t="shared" si="1"/>
        <v/>
      </c>
    </row>
    <row r="128" ht="15.75" customHeight="1">
      <c r="A128" s="8"/>
      <c r="B128" s="8"/>
      <c r="C128" s="8"/>
      <c r="D128" s="8"/>
      <c r="E128" s="8" t="str">
        <f>IF(A128="","",D128+SUMIFS('Movimentações'!$E$2:$E1000,'Movimentações'!$C$2:$C1000,A128,'Movimentações'!$B$2:$B1000,"Entrada")-SUMIFS('Movimentações'!$E$2:$E1000,'Movimentações'!$C$2:$C1000,A128,'Movimentações'!$B$2:$B1000,"Saída"))</f>
        <v/>
      </c>
      <c r="F128" s="8" t="str">
        <f t="shared" si="2"/>
        <v/>
      </c>
      <c r="G128" s="8" t="str">
        <f t="shared" si="1"/>
        <v/>
      </c>
    </row>
    <row r="129" ht="15.75" customHeight="1">
      <c r="A129" s="8"/>
      <c r="B129" s="8"/>
      <c r="C129" s="8"/>
      <c r="D129" s="8"/>
      <c r="E129" s="8" t="str">
        <f>IF(A129="","",D129+SUMIFS('Movimentações'!$E$2:$E1000,'Movimentações'!$C$2:$C1000,A129,'Movimentações'!$B$2:$B1000,"Entrada")-SUMIFS('Movimentações'!$E$2:$E1000,'Movimentações'!$C$2:$C1000,A129,'Movimentações'!$B$2:$B1000,"Saída"))</f>
        <v/>
      </c>
      <c r="F129" s="8" t="str">
        <f t="shared" si="2"/>
        <v/>
      </c>
      <c r="G129" s="8" t="str">
        <f t="shared" si="1"/>
        <v/>
      </c>
    </row>
    <row r="130" ht="15.75" customHeight="1">
      <c r="A130" s="8"/>
      <c r="B130" s="8"/>
      <c r="C130" s="8"/>
      <c r="D130" s="8"/>
      <c r="E130" s="8" t="str">
        <f>IF(A130="","",D130+SUMIFS('Movimentações'!$E$2:$E1000,'Movimentações'!$C$2:$C1000,A130,'Movimentações'!$B$2:$B1000,"Entrada")-SUMIFS('Movimentações'!$E$2:$E1000,'Movimentações'!$C$2:$C1000,A130,'Movimentações'!$B$2:$B1000,"Saída"))</f>
        <v/>
      </c>
      <c r="F130" s="8" t="str">
        <f t="shared" si="2"/>
        <v/>
      </c>
      <c r="G130" s="8" t="str">
        <f t="shared" si="1"/>
        <v/>
      </c>
    </row>
    <row r="131" ht="15.75" customHeight="1">
      <c r="A131" s="8"/>
      <c r="B131" s="8"/>
      <c r="C131" s="8"/>
      <c r="D131" s="8"/>
      <c r="E131" s="8" t="str">
        <f>IF(A131="","",D131+SUMIFS('Movimentações'!$E$2:$E1000,'Movimentações'!$C$2:$C1000,A131,'Movimentações'!$B$2:$B1000,"Entrada")-SUMIFS('Movimentações'!$E$2:$E1000,'Movimentações'!$C$2:$C1000,A131,'Movimentações'!$B$2:$B1000,"Saída"))</f>
        <v/>
      </c>
      <c r="F131" s="8" t="str">
        <f t="shared" si="2"/>
        <v/>
      </c>
      <c r="G131" s="8" t="str">
        <f t="shared" si="1"/>
        <v/>
      </c>
    </row>
    <row r="132" ht="15.75" customHeight="1">
      <c r="A132" s="8"/>
      <c r="B132" s="8"/>
      <c r="C132" s="8"/>
      <c r="D132" s="8"/>
      <c r="E132" s="8" t="str">
        <f>IF(A132="","",D132+SUMIFS('Movimentações'!$E$2:$E1000,'Movimentações'!$C$2:$C1000,A132,'Movimentações'!$B$2:$B1000,"Entrada")-SUMIFS('Movimentações'!$E$2:$E1000,'Movimentações'!$C$2:$C1000,A132,'Movimentações'!$B$2:$B1000,"Saída"))</f>
        <v/>
      </c>
      <c r="F132" s="8" t="str">
        <f t="shared" si="2"/>
        <v/>
      </c>
      <c r="G132" s="8" t="str">
        <f t="shared" si="1"/>
        <v/>
      </c>
    </row>
    <row r="133" ht="15.75" customHeight="1">
      <c r="A133" s="8"/>
      <c r="B133" s="8"/>
      <c r="C133" s="8"/>
      <c r="D133" s="8"/>
      <c r="E133" s="8" t="str">
        <f>IF(A133="","",D133+SUMIFS('Movimentações'!$E$2:$E1000,'Movimentações'!$C$2:$C1000,A133,'Movimentações'!$B$2:$B1000,"Entrada")-SUMIFS('Movimentações'!$E$2:$E1000,'Movimentações'!$C$2:$C1000,A133,'Movimentações'!$B$2:$B1000,"Saída"))</f>
        <v/>
      </c>
      <c r="F133" s="8" t="str">
        <f t="shared" si="2"/>
        <v/>
      </c>
      <c r="G133" s="8" t="str">
        <f t="shared" si="1"/>
        <v/>
      </c>
    </row>
    <row r="134" ht="15.75" customHeight="1">
      <c r="A134" s="8"/>
      <c r="B134" s="8"/>
      <c r="C134" s="8"/>
      <c r="D134" s="8"/>
      <c r="E134" s="8" t="str">
        <f>IF(A134="","",D134+SUMIFS('Movimentações'!$E$2:$E1000,'Movimentações'!$C$2:$C1000,A134,'Movimentações'!$B$2:$B1000,"Entrada")-SUMIFS('Movimentações'!$E$2:$E1000,'Movimentações'!$C$2:$C1000,A134,'Movimentações'!$B$2:$B1000,"Saída"))</f>
        <v/>
      </c>
      <c r="F134" s="8" t="str">
        <f t="shared" si="2"/>
        <v/>
      </c>
      <c r="G134" s="8" t="str">
        <f t="shared" si="1"/>
        <v/>
      </c>
    </row>
    <row r="135" ht="15.75" customHeight="1">
      <c r="A135" s="8"/>
      <c r="B135" s="8"/>
      <c r="C135" s="8"/>
      <c r="D135" s="8"/>
      <c r="E135" s="8" t="str">
        <f>IF(A135="","",D135+SUMIFS('Movimentações'!$E$2:$E1000,'Movimentações'!$C$2:$C1000,A135,'Movimentações'!$B$2:$B1000,"Entrada")-SUMIFS('Movimentações'!$E$2:$E1000,'Movimentações'!$C$2:$C1000,A135,'Movimentações'!$B$2:$B1000,"Saída"))</f>
        <v/>
      </c>
      <c r="F135" s="8" t="str">
        <f t="shared" si="2"/>
        <v/>
      </c>
      <c r="G135" s="8" t="str">
        <f t="shared" si="1"/>
        <v/>
      </c>
    </row>
    <row r="136" ht="15.75" customHeight="1">
      <c r="A136" s="8"/>
      <c r="B136" s="8"/>
      <c r="C136" s="8"/>
      <c r="D136" s="8"/>
      <c r="E136" s="8" t="str">
        <f>IF(A136="","",D136+SUMIFS('Movimentações'!$E$2:$E1000,'Movimentações'!$C$2:$C1000,A136,'Movimentações'!$B$2:$B1000,"Entrada")-SUMIFS('Movimentações'!$E$2:$E1000,'Movimentações'!$C$2:$C1000,A136,'Movimentações'!$B$2:$B1000,"Saída"))</f>
        <v/>
      </c>
      <c r="F136" s="8" t="str">
        <f t="shared" si="2"/>
        <v/>
      </c>
      <c r="G136" s="8" t="str">
        <f t="shared" si="1"/>
        <v/>
      </c>
    </row>
    <row r="137" ht="15.75" customHeight="1">
      <c r="A137" s="8"/>
      <c r="B137" s="8"/>
      <c r="C137" s="8"/>
      <c r="D137" s="8"/>
      <c r="E137" s="8" t="str">
        <f>IF(A137="","",D137+SUMIFS('Movimentações'!$E$2:$E1000,'Movimentações'!$C$2:$C1000,A137,'Movimentações'!$B$2:$B1000,"Entrada")-SUMIFS('Movimentações'!$E$2:$E1000,'Movimentações'!$C$2:$C1000,A137,'Movimentações'!$B$2:$B1000,"Saída"))</f>
        <v/>
      </c>
      <c r="F137" s="8" t="str">
        <f t="shared" si="2"/>
        <v/>
      </c>
      <c r="G137" s="8" t="str">
        <f t="shared" si="1"/>
        <v/>
      </c>
    </row>
    <row r="138" ht="15.75" customHeight="1">
      <c r="A138" s="8"/>
      <c r="B138" s="8"/>
      <c r="C138" s="8"/>
      <c r="D138" s="8"/>
      <c r="E138" s="8" t="str">
        <f>IF(A138="","",D138+SUMIFS('Movimentações'!$E$2:$E1000,'Movimentações'!$C$2:$C1000,A138,'Movimentações'!$B$2:$B1000,"Entrada")-SUMIFS('Movimentações'!$E$2:$E1000,'Movimentações'!$C$2:$C1000,A138,'Movimentações'!$B$2:$B1000,"Saída"))</f>
        <v/>
      </c>
      <c r="F138" s="8" t="str">
        <f t="shared" si="2"/>
        <v/>
      </c>
      <c r="G138" s="8" t="str">
        <f t="shared" si="1"/>
        <v/>
      </c>
    </row>
    <row r="139" ht="15.75" customHeight="1">
      <c r="A139" s="8"/>
      <c r="B139" s="8"/>
      <c r="C139" s="8"/>
      <c r="D139" s="8"/>
      <c r="E139" s="8" t="str">
        <f>IF(A139="","",D139+SUMIFS('Movimentações'!$E$2:$E1000,'Movimentações'!$C$2:$C1000,A139,'Movimentações'!$B$2:$B1000,"Entrada")-SUMIFS('Movimentações'!$E$2:$E1000,'Movimentações'!$C$2:$C1000,A139,'Movimentações'!$B$2:$B1000,"Saída"))</f>
        <v/>
      </c>
      <c r="F139" s="8" t="str">
        <f t="shared" si="2"/>
        <v/>
      </c>
      <c r="G139" s="8" t="str">
        <f t="shared" si="1"/>
        <v/>
      </c>
    </row>
    <row r="140" ht="15.75" customHeight="1">
      <c r="A140" s="8"/>
      <c r="B140" s="8"/>
      <c r="C140" s="8"/>
      <c r="D140" s="8"/>
      <c r="E140" s="8" t="str">
        <f>IF(A140="","",D140+SUMIFS('Movimentações'!$E$2:$E1000,'Movimentações'!$C$2:$C1000,A140,'Movimentações'!$B$2:$B1000,"Entrada")-SUMIFS('Movimentações'!$E$2:$E1000,'Movimentações'!$C$2:$C1000,A140,'Movimentações'!$B$2:$B1000,"Saída"))</f>
        <v/>
      </c>
      <c r="F140" s="8" t="str">
        <f t="shared" si="2"/>
        <v/>
      </c>
      <c r="G140" s="8" t="str">
        <f t="shared" si="1"/>
        <v/>
      </c>
    </row>
    <row r="141" ht="15.75" customHeight="1">
      <c r="A141" s="8"/>
      <c r="B141" s="8"/>
      <c r="C141" s="8"/>
      <c r="D141" s="8"/>
      <c r="E141" s="8" t="str">
        <f>IF(A141="","",D141+SUMIFS('Movimentações'!$E$2:$E1000,'Movimentações'!$C$2:$C1000,A141,'Movimentações'!$B$2:$B1000,"Entrada")-SUMIFS('Movimentações'!$E$2:$E1000,'Movimentações'!$C$2:$C1000,A141,'Movimentações'!$B$2:$B1000,"Saída"))</f>
        <v/>
      </c>
      <c r="F141" s="8" t="str">
        <f t="shared" si="2"/>
        <v/>
      </c>
      <c r="G141" s="8" t="str">
        <f t="shared" si="1"/>
        <v/>
      </c>
    </row>
    <row r="142" ht="15.75" customHeight="1">
      <c r="A142" s="8"/>
      <c r="B142" s="8"/>
      <c r="C142" s="8"/>
      <c r="D142" s="8"/>
      <c r="E142" s="8" t="str">
        <f>IF(A142="","",D142+SUMIFS('Movimentações'!$E$2:$E1000,'Movimentações'!$C$2:$C1000,A142,'Movimentações'!$B$2:$B1000,"Entrada")-SUMIFS('Movimentações'!$E$2:$E1000,'Movimentações'!$C$2:$C1000,A142,'Movimentações'!$B$2:$B1000,"Saída"))</f>
        <v/>
      </c>
      <c r="F142" s="8" t="str">
        <f t="shared" si="2"/>
        <v/>
      </c>
      <c r="G142" s="8" t="str">
        <f t="shared" si="1"/>
        <v/>
      </c>
    </row>
    <row r="143" ht="15.75" customHeight="1">
      <c r="A143" s="8"/>
      <c r="B143" s="8"/>
      <c r="C143" s="8"/>
      <c r="D143" s="8"/>
      <c r="E143" s="8" t="str">
        <f>IF(A143="","",D143+SUMIFS('Movimentações'!$E$2:$E1000,'Movimentações'!$C$2:$C1000,A143,'Movimentações'!$B$2:$B1000,"Entrada")-SUMIFS('Movimentações'!$E$2:$E1000,'Movimentações'!$C$2:$C1000,A143,'Movimentações'!$B$2:$B1000,"Saída"))</f>
        <v/>
      </c>
      <c r="F143" s="8" t="str">
        <f t="shared" si="2"/>
        <v/>
      </c>
      <c r="G143" s="8" t="str">
        <f t="shared" si="1"/>
        <v/>
      </c>
    </row>
    <row r="144" ht="15.75" customHeight="1">
      <c r="A144" s="8"/>
      <c r="B144" s="8"/>
      <c r="C144" s="8"/>
      <c r="D144" s="8"/>
      <c r="E144" s="8" t="str">
        <f>IF(A144="","",D144+SUMIFS('Movimentações'!$E$2:$E1000,'Movimentações'!$C$2:$C1000,A144,'Movimentações'!$B$2:$B1000,"Entrada")-SUMIFS('Movimentações'!$E$2:$E1000,'Movimentações'!$C$2:$C1000,A144,'Movimentações'!$B$2:$B1000,"Saída"))</f>
        <v/>
      </c>
      <c r="F144" s="8" t="str">
        <f t="shared" si="2"/>
        <v/>
      </c>
      <c r="G144" s="8" t="str">
        <f t="shared" si="1"/>
        <v/>
      </c>
    </row>
    <row r="145" ht="15.75" customHeight="1">
      <c r="A145" s="8"/>
      <c r="B145" s="8"/>
      <c r="C145" s="8"/>
      <c r="D145" s="8"/>
      <c r="E145" s="8" t="str">
        <f>IF(A145="","",D145+SUMIFS('Movimentações'!$E$2:$E1000,'Movimentações'!$C$2:$C1000,A145,'Movimentações'!$B$2:$B1000,"Entrada")-SUMIFS('Movimentações'!$E$2:$E1000,'Movimentações'!$C$2:$C1000,A145,'Movimentações'!$B$2:$B1000,"Saída"))</f>
        <v/>
      </c>
      <c r="F145" s="8" t="str">
        <f t="shared" si="2"/>
        <v/>
      </c>
      <c r="G145" s="8" t="str">
        <f t="shared" si="1"/>
        <v/>
      </c>
    </row>
    <row r="146" ht="15.75" customHeight="1">
      <c r="A146" s="8"/>
      <c r="B146" s="8"/>
      <c r="C146" s="8"/>
      <c r="D146" s="8"/>
      <c r="E146" s="8" t="str">
        <f>IF(A146="","",D146+SUMIFS('Movimentações'!$E$2:$E1000,'Movimentações'!$C$2:$C1000,A146,'Movimentações'!$B$2:$B1000,"Entrada")-SUMIFS('Movimentações'!$E$2:$E1000,'Movimentações'!$C$2:$C1000,A146,'Movimentações'!$B$2:$B1000,"Saída"))</f>
        <v/>
      </c>
      <c r="F146" s="8" t="str">
        <f t="shared" si="2"/>
        <v/>
      </c>
      <c r="G146" s="8" t="str">
        <f t="shared" si="1"/>
        <v/>
      </c>
    </row>
    <row r="147" ht="15.75" customHeight="1">
      <c r="A147" s="8"/>
      <c r="B147" s="8"/>
      <c r="C147" s="8"/>
      <c r="D147" s="8"/>
      <c r="E147" s="8" t="str">
        <f>IF(A147="","",D147+SUMIFS('Movimentações'!$E$2:$E1000,'Movimentações'!$C$2:$C1000,A147,'Movimentações'!$B$2:$B1000,"Entrada")-SUMIFS('Movimentações'!$E$2:$E1000,'Movimentações'!$C$2:$C1000,A147,'Movimentações'!$B$2:$B1000,"Saída"))</f>
        <v/>
      </c>
      <c r="F147" s="8" t="str">
        <f t="shared" si="2"/>
        <v/>
      </c>
      <c r="G147" s="8" t="str">
        <f t="shared" si="1"/>
        <v/>
      </c>
    </row>
    <row r="148" ht="15.75" customHeight="1">
      <c r="A148" s="8"/>
      <c r="B148" s="8"/>
      <c r="C148" s="8"/>
      <c r="D148" s="8"/>
      <c r="E148" s="8" t="str">
        <f>IF(A148="","",D148+SUMIFS('Movimentações'!$E$2:$E1000,'Movimentações'!$C$2:$C1000,A148,'Movimentações'!$B$2:$B1000,"Entrada")-SUMIFS('Movimentações'!$E$2:$E1000,'Movimentações'!$C$2:$C1000,A148,'Movimentações'!$B$2:$B1000,"Saída"))</f>
        <v/>
      </c>
      <c r="F148" s="8" t="str">
        <f t="shared" si="2"/>
        <v/>
      </c>
      <c r="G148" s="8" t="str">
        <f t="shared" si="1"/>
        <v/>
      </c>
    </row>
    <row r="149" ht="15.75" customHeight="1">
      <c r="A149" s="8"/>
      <c r="B149" s="8"/>
      <c r="C149" s="8"/>
      <c r="D149" s="8"/>
      <c r="E149" s="8" t="str">
        <f>IF(A149="","",D149+SUMIFS('Movimentações'!$E$2:$E1000,'Movimentações'!$C$2:$C1000,A149,'Movimentações'!$B$2:$B1000,"Entrada")-SUMIFS('Movimentações'!$E$2:$E1000,'Movimentações'!$C$2:$C1000,A149,'Movimentações'!$B$2:$B1000,"Saída"))</f>
        <v/>
      </c>
      <c r="F149" s="8" t="str">
        <f t="shared" si="2"/>
        <v/>
      </c>
      <c r="G149" s="8" t="str">
        <f t="shared" si="1"/>
        <v/>
      </c>
    </row>
    <row r="150" ht="15.75" customHeight="1">
      <c r="A150" s="8"/>
      <c r="B150" s="8"/>
      <c r="C150" s="8"/>
      <c r="D150" s="8"/>
      <c r="E150" s="8" t="str">
        <f>IF(A150="","",D150+SUMIFS('Movimentações'!$E$2:$E1000,'Movimentações'!$C$2:$C1000,A150,'Movimentações'!$B$2:$B1000,"Entrada")-SUMIFS('Movimentações'!$E$2:$E1000,'Movimentações'!$C$2:$C1000,A150,'Movimentações'!$B$2:$B1000,"Saída"))</f>
        <v/>
      </c>
      <c r="F150" s="8" t="str">
        <f t="shared" si="2"/>
        <v/>
      </c>
      <c r="G150" s="8" t="str">
        <f t="shared" si="1"/>
        <v/>
      </c>
    </row>
    <row r="151" ht="15.75" customHeight="1">
      <c r="A151" s="8"/>
      <c r="B151" s="8"/>
      <c r="C151" s="8"/>
      <c r="D151" s="8"/>
      <c r="E151" s="8" t="str">
        <f>IF(A151="","",D151+SUMIFS('Movimentações'!$E$2:$E1000,'Movimentações'!$C$2:$C1000,A151,'Movimentações'!$B$2:$B1000,"Entrada")-SUMIFS('Movimentações'!$E$2:$E1000,'Movimentações'!$C$2:$C1000,A151,'Movimentações'!$B$2:$B1000,"Saída"))</f>
        <v/>
      </c>
      <c r="F151" s="8" t="str">
        <f t="shared" si="2"/>
        <v/>
      </c>
      <c r="G151" s="8" t="str">
        <f t="shared" si="1"/>
        <v/>
      </c>
    </row>
    <row r="152" ht="15.75" customHeight="1">
      <c r="A152" s="8"/>
      <c r="B152" s="8"/>
      <c r="C152" s="8"/>
      <c r="D152" s="8"/>
      <c r="E152" s="8" t="str">
        <f>IF(A152="","",D152+SUMIFS('Movimentações'!$E$2:$E1000,'Movimentações'!$C$2:$C1000,A152,'Movimentações'!$B$2:$B1000,"Entrada")-SUMIFS('Movimentações'!$E$2:$E1000,'Movimentações'!$C$2:$C1000,A152,'Movimentações'!$B$2:$B1000,"Saída"))</f>
        <v/>
      </c>
      <c r="F152" s="8" t="str">
        <f t="shared" si="2"/>
        <v/>
      </c>
      <c r="G152" s="8" t="str">
        <f t="shared" si="1"/>
        <v/>
      </c>
    </row>
    <row r="153" ht="15.75" customHeight="1">
      <c r="A153" s="8"/>
      <c r="B153" s="8"/>
      <c r="C153" s="8"/>
      <c r="D153" s="8"/>
      <c r="E153" s="8" t="str">
        <f>IF(A153="","",D153+SUMIFS('Movimentações'!$E$2:$E1000,'Movimentações'!$C$2:$C1000,A153,'Movimentações'!$B$2:$B1000,"Entrada")-SUMIFS('Movimentações'!$E$2:$E1000,'Movimentações'!$C$2:$C1000,A153,'Movimentações'!$B$2:$B1000,"Saída"))</f>
        <v/>
      </c>
      <c r="F153" s="8" t="str">
        <f t="shared" si="2"/>
        <v/>
      </c>
      <c r="G153" s="8" t="str">
        <f t="shared" si="1"/>
        <v/>
      </c>
    </row>
    <row r="154" ht="15.75" customHeight="1">
      <c r="A154" s="8"/>
      <c r="B154" s="8"/>
      <c r="C154" s="8"/>
      <c r="D154" s="8"/>
      <c r="E154" s="8" t="str">
        <f>IF(A154="","",D154+SUMIFS('Movimentações'!$E$2:$E1000,'Movimentações'!$C$2:$C1000,A154,'Movimentações'!$B$2:$B1000,"Entrada")-SUMIFS('Movimentações'!$E$2:$E1000,'Movimentações'!$C$2:$C1000,A154,'Movimentações'!$B$2:$B1000,"Saída"))</f>
        <v/>
      </c>
      <c r="F154" s="8" t="str">
        <f t="shared" si="2"/>
        <v/>
      </c>
      <c r="G154" s="8" t="str">
        <f t="shared" si="1"/>
        <v/>
      </c>
    </row>
    <row r="155" ht="15.75" customHeight="1">
      <c r="A155" s="8"/>
      <c r="B155" s="8"/>
      <c r="C155" s="8"/>
      <c r="D155" s="8"/>
      <c r="E155" s="8" t="str">
        <f>IF(A155="","",D155+SUMIFS('Movimentações'!$E$2:$E1000,'Movimentações'!$C$2:$C1000,A155,'Movimentações'!$B$2:$B1000,"Entrada")-SUMIFS('Movimentações'!$E$2:$E1000,'Movimentações'!$C$2:$C1000,A155,'Movimentações'!$B$2:$B1000,"Saída"))</f>
        <v/>
      </c>
      <c r="F155" s="8" t="str">
        <f t="shared" si="2"/>
        <v/>
      </c>
      <c r="G155" s="8" t="str">
        <f t="shared" si="1"/>
        <v/>
      </c>
    </row>
    <row r="156" ht="15.75" customHeight="1">
      <c r="A156" s="8"/>
      <c r="B156" s="8"/>
      <c r="C156" s="8"/>
      <c r="D156" s="8"/>
      <c r="E156" s="8" t="str">
        <f>IF(A156="","",D156+SUMIFS('Movimentações'!$E$2:$E1000,'Movimentações'!$C$2:$C1000,A156,'Movimentações'!$B$2:$B1000,"Entrada")-SUMIFS('Movimentações'!$E$2:$E1000,'Movimentações'!$C$2:$C1000,A156,'Movimentações'!$B$2:$B1000,"Saída"))</f>
        <v/>
      </c>
      <c r="F156" s="8" t="str">
        <f t="shared" si="2"/>
        <v/>
      </c>
      <c r="G156" s="8" t="str">
        <f t="shared" si="1"/>
        <v/>
      </c>
    </row>
    <row r="157" ht="15.75" customHeight="1">
      <c r="A157" s="8"/>
      <c r="B157" s="8"/>
      <c r="C157" s="8"/>
      <c r="D157" s="8"/>
      <c r="E157" s="8" t="str">
        <f>IF(A157="","",D157+SUMIFS('Movimentações'!$E$2:$E1000,'Movimentações'!$C$2:$C1000,A157,'Movimentações'!$B$2:$B1000,"Entrada")-SUMIFS('Movimentações'!$E$2:$E1000,'Movimentações'!$C$2:$C1000,A157,'Movimentações'!$B$2:$B1000,"Saída"))</f>
        <v/>
      </c>
      <c r="F157" s="8" t="str">
        <f t="shared" si="2"/>
        <v/>
      </c>
      <c r="G157" s="8" t="str">
        <f t="shared" si="1"/>
        <v/>
      </c>
    </row>
    <row r="158" ht="15.75" customHeight="1">
      <c r="A158" s="8"/>
      <c r="B158" s="8"/>
      <c r="C158" s="8"/>
      <c r="D158" s="8"/>
      <c r="E158" s="8" t="str">
        <f>IF(A158="","",D158+SUMIFS('Movimentações'!$E$2:$E1000,'Movimentações'!$C$2:$C1000,A158,'Movimentações'!$B$2:$B1000,"Entrada")-SUMIFS('Movimentações'!$E$2:$E1000,'Movimentações'!$C$2:$C1000,A158,'Movimentações'!$B$2:$B1000,"Saída"))</f>
        <v/>
      </c>
      <c r="F158" s="8" t="str">
        <f t="shared" si="2"/>
        <v/>
      </c>
      <c r="G158" s="8" t="str">
        <f t="shared" si="1"/>
        <v/>
      </c>
    </row>
    <row r="159" ht="15.75" customHeight="1">
      <c r="A159" s="8"/>
      <c r="B159" s="8"/>
      <c r="C159" s="8"/>
      <c r="D159" s="8"/>
      <c r="E159" s="8" t="str">
        <f>IF(A159="","",D159+SUMIFS('Movimentações'!$E$2:$E1000,'Movimentações'!$C$2:$C1000,A159,'Movimentações'!$B$2:$B1000,"Entrada")-SUMIFS('Movimentações'!$E$2:$E1000,'Movimentações'!$C$2:$C1000,A159,'Movimentações'!$B$2:$B1000,"Saída"))</f>
        <v/>
      </c>
      <c r="F159" s="8" t="str">
        <f t="shared" si="2"/>
        <v/>
      </c>
      <c r="G159" s="8" t="str">
        <f t="shared" si="1"/>
        <v/>
      </c>
    </row>
    <row r="160" ht="15.75" customHeight="1">
      <c r="A160" s="8"/>
      <c r="B160" s="8"/>
      <c r="C160" s="8"/>
      <c r="D160" s="8"/>
      <c r="E160" s="8" t="str">
        <f>IF(A160="","",D160+SUMIFS('Movimentações'!$E$2:$E1000,'Movimentações'!$C$2:$C1000,A160,'Movimentações'!$B$2:$B1000,"Entrada")-SUMIFS('Movimentações'!$E$2:$E1000,'Movimentações'!$C$2:$C1000,A160,'Movimentações'!$B$2:$B1000,"Saída"))</f>
        <v/>
      </c>
      <c r="F160" s="8" t="str">
        <f t="shared" si="2"/>
        <v/>
      </c>
      <c r="G160" s="8" t="str">
        <f t="shared" si="1"/>
        <v/>
      </c>
    </row>
    <row r="161" ht="15.75" customHeight="1">
      <c r="A161" s="8"/>
      <c r="B161" s="8"/>
      <c r="C161" s="8"/>
      <c r="D161" s="8"/>
      <c r="E161" s="8" t="str">
        <f>IF(A161="","",D161+SUMIFS('Movimentações'!$E$2:$E1000,'Movimentações'!$C$2:$C1000,A161,'Movimentações'!$B$2:$B1000,"Entrada")-SUMIFS('Movimentações'!$E$2:$E1000,'Movimentações'!$C$2:$C1000,A161,'Movimentações'!$B$2:$B1000,"Saída"))</f>
        <v/>
      </c>
      <c r="F161" s="8" t="str">
        <f t="shared" si="2"/>
        <v/>
      </c>
      <c r="G161" s="8" t="str">
        <f t="shared" si="1"/>
        <v/>
      </c>
    </row>
    <row r="162" ht="15.75" customHeight="1">
      <c r="A162" s="8"/>
      <c r="B162" s="8"/>
      <c r="C162" s="8"/>
      <c r="D162" s="8"/>
      <c r="E162" s="8" t="str">
        <f>IF(A162="","",D162+SUMIFS('Movimentações'!$E$2:$E1000,'Movimentações'!$C$2:$C1000,A162,'Movimentações'!$B$2:$B1000,"Entrada")-SUMIFS('Movimentações'!$E$2:$E1000,'Movimentações'!$C$2:$C1000,A162,'Movimentações'!$B$2:$B1000,"Saída"))</f>
        <v/>
      </c>
      <c r="F162" s="8" t="str">
        <f t="shared" si="2"/>
        <v/>
      </c>
      <c r="G162" s="8" t="str">
        <f t="shared" si="1"/>
        <v/>
      </c>
    </row>
    <row r="163" ht="15.75" customHeight="1">
      <c r="A163" s="8"/>
      <c r="B163" s="8"/>
      <c r="C163" s="8"/>
      <c r="D163" s="8"/>
      <c r="E163" s="8" t="str">
        <f>IF(A163="","",D163+SUMIFS('Movimentações'!$E$2:$E1000,'Movimentações'!$C$2:$C1000,A163,'Movimentações'!$B$2:$B1000,"Entrada")-SUMIFS('Movimentações'!$E$2:$E1000,'Movimentações'!$C$2:$C1000,A163,'Movimentações'!$B$2:$B1000,"Saída"))</f>
        <v/>
      </c>
      <c r="F163" s="8" t="str">
        <f t="shared" si="2"/>
        <v/>
      </c>
      <c r="G163" s="8" t="str">
        <f t="shared" si="1"/>
        <v/>
      </c>
    </row>
    <row r="164" ht="15.75" customHeight="1">
      <c r="A164" s="8"/>
      <c r="B164" s="8"/>
      <c r="C164" s="8"/>
      <c r="D164" s="8"/>
      <c r="E164" s="8" t="str">
        <f>IF(A164="","",D164+SUMIFS('Movimentações'!$E$2:$E1000,'Movimentações'!$C$2:$C1000,A164,'Movimentações'!$B$2:$B1000,"Entrada")-SUMIFS('Movimentações'!$E$2:$E1000,'Movimentações'!$C$2:$C1000,A164,'Movimentações'!$B$2:$B1000,"Saída"))</f>
        <v/>
      </c>
      <c r="F164" s="8" t="str">
        <f t="shared" si="2"/>
        <v/>
      </c>
      <c r="G164" s="8" t="str">
        <f t="shared" si="1"/>
        <v/>
      </c>
    </row>
    <row r="165" ht="15.75" customHeight="1">
      <c r="A165" s="8"/>
      <c r="B165" s="8"/>
      <c r="C165" s="8"/>
      <c r="D165" s="8"/>
      <c r="E165" s="8" t="str">
        <f>IF(A165="","",D165+SUMIFS('Movimentações'!$E$2:$E1000,'Movimentações'!$C$2:$C1000,A165,'Movimentações'!$B$2:$B1000,"Entrada")-SUMIFS('Movimentações'!$E$2:$E1000,'Movimentações'!$C$2:$C1000,A165,'Movimentações'!$B$2:$B1000,"Saída"))</f>
        <v/>
      </c>
      <c r="F165" s="8" t="str">
        <f t="shared" si="2"/>
        <v/>
      </c>
      <c r="G165" s="8" t="str">
        <f t="shared" si="1"/>
        <v/>
      </c>
    </row>
    <row r="166" ht="15.75" customHeight="1">
      <c r="A166" s="8"/>
      <c r="B166" s="8"/>
      <c r="C166" s="8"/>
      <c r="D166" s="8"/>
      <c r="E166" s="8" t="str">
        <f>IF(A166="","",D166+SUMIFS('Movimentações'!$E$2:$E1000,'Movimentações'!$C$2:$C1000,A166,'Movimentações'!$B$2:$B1000,"Entrada")-SUMIFS('Movimentações'!$E$2:$E1000,'Movimentações'!$C$2:$C1000,A166,'Movimentações'!$B$2:$B1000,"Saída"))</f>
        <v/>
      </c>
      <c r="F166" s="8" t="str">
        <f t="shared" si="2"/>
        <v/>
      </c>
      <c r="G166" s="8" t="str">
        <f t="shared" si="1"/>
        <v/>
      </c>
    </row>
    <row r="167" ht="15.75" customHeight="1">
      <c r="A167" s="8"/>
      <c r="B167" s="8"/>
      <c r="C167" s="8"/>
      <c r="D167" s="8"/>
      <c r="E167" s="8" t="str">
        <f>IF(A167="","",D167+SUMIFS('Movimentações'!$E$2:$E1000,'Movimentações'!$C$2:$C1000,A167,'Movimentações'!$B$2:$B1000,"Entrada")-SUMIFS('Movimentações'!$E$2:$E1000,'Movimentações'!$C$2:$C1000,A167,'Movimentações'!$B$2:$B1000,"Saída"))</f>
        <v/>
      </c>
      <c r="F167" s="8" t="str">
        <f t="shared" si="2"/>
        <v/>
      </c>
      <c r="G167" s="8" t="str">
        <f t="shared" si="1"/>
        <v/>
      </c>
    </row>
    <row r="168" ht="15.75" customHeight="1">
      <c r="A168" s="8"/>
      <c r="B168" s="8"/>
      <c r="C168" s="8"/>
      <c r="D168" s="8"/>
      <c r="E168" s="8" t="str">
        <f>IF(A168="","",D168+SUMIFS('Movimentações'!$E$2:$E1000,'Movimentações'!$C$2:$C1000,A168,'Movimentações'!$B$2:$B1000,"Entrada")-SUMIFS('Movimentações'!$E$2:$E1000,'Movimentações'!$C$2:$C1000,A168,'Movimentações'!$B$2:$B1000,"Saída"))</f>
        <v/>
      </c>
      <c r="F168" s="8" t="str">
        <f t="shared" si="2"/>
        <v/>
      </c>
      <c r="G168" s="8" t="str">
        <f t="shared" si="1"/>
        <v/>
      </c>
    </row>
    <row r="169" ht="15.75" customHeight="1">
      <c r="A169" s="8"/>
      <c r="B169" s="8"/>
      <c r="C169" s="8"/>
      <c r="D169" s="8"/>
      <c r="E169" s="8" t="str">
        <f>IF(A169="","",D169+SUMIFS('Movimentações'!$E$2:$E1000,'Movimentações'!$C$2:$C1000,A169,'Movimentações'!$B$2:$B1000,"Entrada")-SUMIFS('Movimentações'!$E$2:$E1000,'Movimentações'!$C$2:$C1000,A169,'Movimentações'!$B$2:$B1000,"Saída"))</f>
        <v/>
      </c>
      <c r="F169" s="8" t="str">
        <f t="shared" si="2"/>
        <v/>
      </c>
      <c r="G169" s="8" t="str">
        <f t="shared" si="1"/>
        <v/>
      </c>
    </row>
    <row r="170" ht="15.75" customHeight="1">
      <c r="A170" s="8"/>
      <c r="B170" s="8"/>
      <c r="C170" s="8"/>
      <c r="D170" s="8"/>
      <c r="E170" s="8" t="str">
        <f>IF(A170="","",D170+SUMIFS('Movimentações'!$E$2:$E1000,'Movimentações'!$C$2:$C1000,A170,'Movimentações'!$B$2:$B1000,"Entrada")-SUMIFS('Movimentações'!$E$2:$E1000,'Movimentações'!$C$2:$C1000,A170,'Movimentações'!$B$2:$B1000,"Saída"))</f>
        <v/>
      </c>
      <c r="F170" s="8" t="str">
        <f t="shared" si="2"/>
        <v/>
      </c>
      <c r="G170" s="8" t="str">
        <f t="shared" si="1"/>
        <v/>
      </c>
    </row>
    <row r="171" ht="15.75" customHeight="1">
      <c r="A171" s="8"/>
      <c r="B171" s="8"/>
      <c r="C171" s="8"/>
      <c r="D171" s="8"/>
      <c r="E171" s="8" t="str">
        <f>IF(A171="","",D171+SUMIFS('Movimentações'!$E$2:$E1000,'Movimentações'!$C$2:$C1000,A171,'Movimentações'!$B$2:$B1000,"Entrada")-SUMIFS('Movimentações'!$E$2:$E1000,'Movimentações'!$C$2:$C1000,A171,'Movimentações'!$B$2:$B1000,"Saída"))</f>
        <v/>
      </c>
      <c r="F171" s="8" t="str">
        <f t="shared" si="2"/>
        <v/>
      </c>
      <c r="G171" s="8" t="str">
        <f t="shared" si="1"/>
        <v/>
      </c>
    </row>
    <row r="172" ht="15.75" customHeight="1">
      <c r="A172" s="8"/>
      <c r="B172" s="8"/>
      <c r="C172" s="8"/>
      <c r="D172" s="8"/>
      <c r="E172" s="8" t="str">
        <f>IF(A172="","",D172+SUMIFS('Movimentações'!$E$2:$E1000,'Movimentações'!$C$2:$C1000,A172,'Movimentações'!$B$2:$B1000,"Entrada")-SUMIFS('Movimentações'!$E$2:$E1000,'Movimentações'!$C$2:$C1000,A172,'Movimentações'!$B$2:$B1000,"Saída"))</f>
        <v/>
      </c>
      <c r="F172" s="8" t="str">
        <f t="shared" si="2"/>
        <v/>
      </c>
      <c r="G172" s="8" t="str">
        <f t="shared" si="1"/>
        <v/>
      </c>
    </row>
    <row r="173" ht="15.75" customHeight="1">
      <c r="A173" s="8"/>
      <c r="B173" s="8"/>
      <c r="C173" s="8"/>
      <c r="D173" s="8"/>
      <c r="E173" s="8" t="str">
        <f>IF(A173="","",D173+SUMIFS('Movimentações'!$E$2:$E1000,'Movimentações'!$C$2:$C1000,A173,'Movimentações'!$B$2:$B1000,"Entrada")-SUMIFS('Movimentações'!$E$2:$E1000,'Movimentações'!$C$2:$C1000,A173,'Movimentações'!$B$2:$B1000,"Saída"))</f>
        <v/>
      </c>
      <c r="F173" s="8" t="str">
        <f t="shared" si="2"/>
        <v/>
      </c>
      <c r="G173" s="8" t="str">
        <f t="shared" si="1"/>
        <v/>
      </c>
    </row>
    <row r="174" ht="15.75" customHeight="1">
      <c r="A174" s="8"/>
      <c r="B174" s="8"/>
      <c r="C174" s="8"/>
      <c r="D174" s="8"/>
      <c r="E174" s="8" t="str">
        <f>IF(A174="","",D174+SUMIFS('Movimentações'!$E$2:$E1000,'Movimentações'!$C$2:$C1000,A174,'Movimentações'!$B$2:$B1000,"Entrada")-SUMIFS('Movimentações'!$E$2:$E1000,'Movimentações'!$C$2:$C1000,A174,'Movimentações'!$B$2:$B1000,"Saída"))</f>
        <v/>
      </c>
      <c r="F174" s="8" t="str">
        <f t="shared" si="2"/>
        <v/>
      </c>
      <c r="G174" s="8" t="str">
        <f t="shared" si="1"/>
        <v/>
      </c>
    </row>
    <row r="175" ht="15.75" customHeight="1">
      <c r="A175" s="8"/>
      <c r="B175" s="8"/>
      <c r="C175" s="8"/>
      <c r="D175" s="8"/>
      <c r="E175" s="8" t="str">
        <f>IF(A175="","",D175+SUMIFS('Movimentações'!$E$2:$E1000,'Movimentações'!$C$2:$C1000,A175,'Movimentações'!$B$2:$B1000,"Entrada")-SUMIFS('Movimentações'!$E$2:$E1000,'Movimentações'!$C$2:$C1000,A175,'Movimentações'!$B$2:$B1000,"Saída"))</f>
        <v/>
      </c>
      <c r="F175" s="8" t="str">
        <f t="shared" si="2"/>
        <v/>
      </c>
      <c r="G175" s="8" t="str">
        <f t="shared" si="1"/>
        <v/>
      </c>
    </row>
    <row r="176" ht="15.75" customHeight="1">
      <c r="A176" s="8"/>
      <c r="B176" s="8"/>
      <c r="C176" s="8"/>
      <c r="D176" s="8"/>
      <c r="E176" s="8" t="str">
        <f>IF(A176="","",D176+SUMIFS('Movimentações'!$E$2:$E1000,'Movimentações'!$C$2:$C1000,A176,'Movimentações'!$B$2:$B1000,"Entrada")-SUMIFS('Movimentações'!$E$2:$E1000,'Movimentações'!$C$2:$C1000,A176,'Movimentações'!$B$2:$B1000,"Saída"))</f>
        <v/>
      </c>
      <c r="F176" s="8" t="str">
        <f t="shared" si="2"/>
        <v/>
      </c>
      <c r="G176" s="8" t="str">
        <f t="shared" si="1"/>
        <v/>
      </c>
    </row>
    <row r="177" ht="15.75" customHeight="1">
      <c r="A177" s="8"/>
      <c r="B177" s="8"/>
      <c r="C177" s="8"/>
      <c r="D177" s="8"/>
      <c r="E177" s="8" t="str">
        <f>IF(A177="","",D177+SUMIFS('Movimentações'!$E$2:$E1000,'Movimentações'!$C$2:$C1000,A177,'Movimentações'!$B$2:$B1000,"Entrada")-SUMIFS('Movimentações'!$E$2:$E1000,'Movimentações'!$C$2:$C1000,A177,'Movimentações'!$B$2:$B1000,"Saída"))</f>
        <v/>
      </c>
      <c r="F177" s="8" t="str">
        <f t="shared" si="2"/>
        <v/>
      </c>
      <c r="G177" s="8" t="str">
        <f t="shared" si="1"/>
        <v/>
      </c>
    </row>
    <row r="178" ht="15.75" customHeight="1">
      <c r="A178" s="8"/>
      <c r="B178" s="8"/>
      <c r="C178" s="8"/>
      <c r="D178" s="8"/>
      <c r="E178" s="8" t="str">
        <f>IF(A178="","",D178+SUMIFS('Movimentações'!$E$2:$E1000,'Movimentações'!$C$2:$C1000,A178,'Movimentações'!$B$2:$B1000,"Entrada")-SUMIFS('Movimentações'!$E$2:$E1000,'Movimentações'!$C$2:$C1000,A178,'Movimentações'!$B$2:$B1000,"Saída"))</f>
        <v/>
      </c>
      <c r="F178" s="8" t="str">
        <f t="shared" si="2"/>
        <v/>
      </c>
      <c r="G178" s="8" t="str">
        <f t="shared" si="1"/>
        <v/>
      </c>
    </row>
    <row r="179" ht="15.75" customHeight="1">
      <c r="A179" s="8"/>
      <c r="B179" s="8"/>
      <c r="C179" s="8"/>
      <c r="D179" s="8"/>
      <c r="E179" s="8" t="str">
        <f>IF(A179="","",D179+SUMIFS('Movimentações'!$E$2:$E1000,'Movimentações'!$C$2:$C1000,A179,'Movimentações'!$B$2:$B1000,"Entrada")-SUMIFS('Movimentações'!$E$2:$E1000,'Movimentações'!$C$2:$C1000,A179,'Movimentações'!$B$2:$B1000,"Saída"))</f>
        <v/>
      </c>
      <c r="F179" s="8" t="str">
        <f t="shared" si="2"/>
        <v/>
      </c>
      <c r="G179" s="8" t="str">
        <f t="shared" si="1"/>
        <v/>
      </c>
    </row>
    <row r="180" ht="15.75" customHeight="1">
      <c r="A180" s="8"/>
      <c r="B180" s="8"/>
      <c r="C180" s="8"/>
      <c r="D180" s="8"/>
      <c r="E180" s="8" t="str">
        <f>IF(A180="","",D180+SUMIFS('Movimentações'!$E$2:$E1000,'Movimentações'!$C$2:$C1000,A180,'Movimentações'!$B$2:$B1000,"Entrada")-SUMIFS('Movimentações'!$E$2:$E1000,'Movimentações'!$C$2:$C1000,A180,'Movimentações'!$B$2:$B1000,"Saída"))</f>
        <v/>
      </c>
      <c r="F180" s="8" t="str">
        <f t="shared" si="2"/>
        <v/>
      </c>
      <c r="G180" s="8" t="str">
        <f t="shared" si="1"/>
        <v/>
      </c>
    </row>
    <row r="181" ht="15.75" customHeight="1">
      <c r="A181" s="8"/>
      <c r="B181" s="8"/>
      <c r="C181" s="8"/>
      <c r="D181" s="8"/>
      <c r="E181" s="8" t="str">
        <f>IF(A181="","",D181+SUMIFS('Movimentações'!$E$2:$E1000,'Movimentações'!$C$2:$C1000,A181,'Movimentações'!$B$2:$B1000,"Entrada")-SUMIFS('Movimentações'!$E$2:$E1000,'Movimentações'!$C$2:$C1000,A181,'Movimentações'!$B$2:$B1000,"Saída"))</f>
        <v/>
      </c>
      <c r="F181" s="8" t="str">
        <f t="shared" si="2"/>
        <v/>
      </c>
      <c r="G181" s="8" t="str">
        <f t="shared" si="1"/>
        <v/>
      </c>
    </row>
    <row r="182" ht="15.75" customHeight="1">
      <c r="A182" s="8"/>
      <c r="B182" s="8"/>
      <c r="C182" s="8"/>
      <c r="D182" s="8"/>
      <c r="E182" s="8" t="str">
        <f>IF(A182="","",D182+SUMIFS('Movimentações'!$E$2:$E1000,'Movimentações'!$C$2:$C1000,A182,'Movimentações'!$B$2:$B1000,"Entrada")-SUMIFS('Movimentações'!$E$2:$E1000,'Movimentações'!$C$2:$C1000,A182,'Movimentações'!$B$2:$B1000,"Saída"))</f>
        <v/>
      </c>
      <c r="F182" s="8" t="str">
        <f t="shared" si="2"/>
        <v/>
      </c>
      <c r="G182" s="8" t="str">
        <f t="shared" si="1"/>
        <v/>
      </c>
    </row>
    <row r="183" ht="15.75" customHeight="1">
      <c r="A183" s="8"/>
      <c r="B183" s="8"/>
      <c r="C183" s="8"/>
      <c r="D183" s="8"/>
      <c r="E183" s="8" t="str">
        <f>IF(A183="","",D183+SUMIFS('Movimentações'!$E$2:$E1000,'Movimentações'!$C$2:$C1000,A183,'Movimentações'!$B$2:$B1000,"Entrada")-SUMIFS('Movimentações'!$E$2:$E1000,'Movimentações'!$C$2:$C1000,A183,'Movimentações'!$B$2:$B1000,"Saída"))</f>
        <v/>
      </c>
      <c r="F183" s="8" t="str">
        <f t="shared" si="2"/>
        <v/>
      </c>
      <c r="G183" s="8" t="str">
        <f t="shared" si="1"/>
        <v/>
      </c>
    </row>
    <row r="184" ht="15.75" customHeight="1">
      <c r="A184" s="8"/>
      <c r="B184" s="8"/>
      <c r="C184" s="8"/>
      <c r="D184" s="8"/>
      <c r="E184" s="8" t="str">
        <f>IF(A184="","",D184+SUMIFS('Movimentações'!$E$2:$E1000,'Movimentações'!$C$2:$C1000,A184,'Movimentações'!$B$2:$B1000,"Entrada")-SUMIFS('Movimentações'!$E$2:$E1000,'Movimentações'!$C$2:$C1000,A184,'Movimentações'!$B$2:$B1000,"Saída"))</f>
        <v/>
      </c>
      <c r="F184" s="8" t="str">
        <f t="shared" si="2"/>
        <v/>
      </c>
      <c r="G184" s="8" t="str">
        <f t="shared" si="1"/>
        <v/>
      </c>
    </row>
    <row r="185" ht="15.75" customHeight="1">
      <c r="A185" s="8"/>
      <c r="B185" s="8"/>
      <c r="C185" s="8"/>
      <c r="D185" s="8"/>
      <c r="E185" s="8" t="str">
        <f>IF(A185="","",D185+SUMIFS('Movimentações'!$E$2:$E1000,'Movimentações'!$C$2:$C1000,A185,'Movimentações'!$B$2:$B1000,"Entrada")-SUMIFS('Movimentações'!$E$2:$E1000,'Movimentações'!$C$2:$C1000,A185,'Movimentações'!$B$2:$B1000,"Saída"))</f>
        <v/>
      </c>
      <c r="F185" s="8" t="str">
        <f t="shared" si="2"/>
        <v/>
      </c>
      <c r="G185" s="8" t="str">
        <f t="shared" si="1"/>
        <v/>
      </c>
    </row>
    <row r="186" ht="15.75" customHeight="1">
      <c r="A186" s="8"/>
      <c r="B186" s="8"/>
      <c r="C186" s="8"/>
      <c r="D186" s="8"/>
      <c r="E186" s="8" t="str">
        <f>IF(A186="","",D186+SUMIFS('Movimentações'!$E$2:$E1000,'Movimentações'!$C$2:$C1000,A186,'Movimentações'!$B$2:$B1000,"Entrada")-SUMIFS('Movimentações'!$E$2:$E1000,'Movimentações'!$C$2:$C1000,A186,'Movimentações'!$B$2:$B1000,"Saída"))</f>
        <v/>
      </c>
      <c r="F186" s="8" t="str">
        <f t="shared" si="2"/>
        <v/>
      </c>
      <c r="G186" s="8" t="str">
        <f t="shared" si="1"/>
        <v/>
      </c>
    </row>
    <row r="187" ht="15.75" customHeight="1">
      <c r="A187" s="8"/>
      <c r="B187" s="8"/>
      <c r="C187" s="8"/>
      <c r="D187" s="8"/>
      <c r="E187" s="8" t="str">
        <f>IF(A187="","",D187+SUMIFS('Movimentações'!$E$2:$E1000,'Movimentações'!$C$2:$C1000,A187,'Movimentações'!$B$2:$B1000,"Entrada")-SUMIFS('Movimentações'!$E$2:$E1000,'Movimentações'!$C$2:$C1000,A187,'Movimentações'!$B$2:$B1000,"Saída"))</f>
        <v/>
      </c>
      <c r="F187" s="8" t="str">
        <f t="shared" si="2"/>
        <v/>
      </c>
      <c r="G187" s="8" t="str">
        <f t="shared" si="1"/>
        <v/>
      </c>
    </row>
    <row r="188" ht="15.75" customHeight="1">
      <c r="A188" s="8"/>
      <c r="B188" s="8"/>
      <c r="C188" s="8"/>
      <c r="D188" s="8"/>
      <c r="E188" s="8" t="str">
        <f>IF(A188="","",D188+SUMIFS('Movimentações'!$E$2:$E1000,'Movimentações'!$C$2:$C1000,A188,'Movimentações'!$B$2:$B1000,"Entrada")-SUMIFS('Movimentações'!$E$2:$E1000,'Movimentações'!$C$2:$C1000,A188,'Movimentações'!$B$2:$B1000,"Saída"))</f>
        <v/>
      </c>
      <c r="F188" s="8" t="str">
        <f t="shared" si="2"/>
        <v/>
      </c>
      <c r="G188" s="8" t="str">
        <f t="shared" si="1"/>
        <v/>
      </c>
    </row>
    <row r="189" ht="15.75" customHeight="1">
      <c r="A189" s="8"/>
      <c r="B189" s="8"/>
      <c r="C189" s="8"/>
      <c r="D189" s="8"/>
      <c r="E189" s="8" t="str">
        <f>IF(A189="","",D189+SUMIFS('Movimentações'!$E$2:$E1000,'Movimentações'!$C$2:$C1000,A189,'Movimentações'!$B$2:$B1000,"Entrada")-SUMIFS('Movimentações'!$E$2:$E1000,'Movimentações'!$C$2:$C1000,A189,'Movimentações'!$B$2:$B1000,"Saída"))</f>
        <v/>
      </c>
      <c r="F189" s="8" t="str">
        <f t="shared" si="2"/>
        <v/>
      </c>
      <c r="G189" s="8" t="str">
        <f t="shared" si="1"/>
        <v/>
      </c>
    </row>
    <row r="190" ht="15.75" customHeight="1">
      <c r="A190" s="8"/>
      <c r="B190" s="8"/>
      <c r="C190" s="8"/>
      <c r="D190" s="8"/>
      <c r="E190" s="8" t="str">
        <f>IF(A190="","",D190+SUMIFS('Movimentações'!$E$2:$E1000,'Movimentações'!$C$2:$C1000,A190,'Movimentações'!$B$2:$B1000,"Entrada")-SUMIFS('Movimentações'!$E$2:$E1000,'Movimentações'!$C$2:$C1000,A190,'Movimentações'!$B$2:$B1000,"Saída"))</f>
        <v/>
      </c>
      <c r="F190" s="8" t="str">
        <f t="shared" si="2"/>
        <v/>
      </c>
      <c r="G190" s="8" t="str">
        <f t="shared" si="1"/>
        <v/>
      </c>
    </row>
    <row r="191" ht="15.75" customHeight="1">
      <c r="A191" s="8"/>
      <c r="B191" s="8"/>
      <c r="C191" s="8"/>
      <c r="D191" s="8"/>
      <c r="E191" s="8" t="str">
        <f>IF(A191="","",D191+SUMIFS('Movimentações'!$E$2:$E1000,'Movimentações'!$C$2:$C1000,A191,'Movimentações'!$B$2:$B1000,"Entrada")-SUMIFS('Movimentações'!$E$2:$E1000,'Movimentações'!$C$2:$C1000,A191,'Movimentações'!$B$2:$B1000,"Saída"))</f>
        <v/>
      </c>
      <c r="F191" s="8" t="str">
        <f t="shared" si="2"/>
        <v/>
      </c>
      <c r="G191" s="8" t="str">
        <f t="shared" si="1"/>
        <v/>
      </c>
    </row>
    <row r="192" ht="15.75" customHeight="1">
      <c r="A192" s="8"/>
      <c r="B192" s="8"/>
      <c r="C192" s="8"/>
      <c r="D192" s="8"/>
      <c r="E192" s="8" t="str">
        <f>IF(A192="","",D192+SUMIFS('Movimentações'!$E$2:$E1000,'Movimentações'!$C$2:$C1000,A192,'Movimentações'!$B$2:$B1000,"Entrada")-SUMIFS('Movimentações'!$E$2:$E1000,'Movimentações'!$C$2:$C1000,A192,'Movimentações'!$B$2:$B1000,"Saída"))</f>
        <v/>
      </c>
      <c r="F192" s="8" t="str">
        <f t="shared" si="2"/>
        <v/>
      </c>
      <c r="G192" s="8" t="str">
        <f t="shared" si="1"/>
        <v/>
      </c>
    </row>
    <row r="193" ht="15.75" customHeight="1">
      <c r="A193" s="8"/>
      <c r="B193" s="8"/>
      <c r="C193" s="8"/>
      <c r="D193" s="8"/>
      <c r="E193" s="8" t="str">
        <f>IF(A193="","",D193+SUMIFS('Movimentações'!$E$2:$E1000,'Movimentações'!$C$2:$C1000,A193,'Movimentações'!$B$2:$B1000,"Entrada")-SUMIFS('Movimentações'!$E$2:$E1000,'Movimentações'!$C$2:$C1000,A193,'Movimentações'!$B$2:$B1000,"Saída"))</f>
        <v/>
      </c>
      <c r="F193" s="8" t="str">
        <f t="shared" si="2"/>
        <v/>
      </c>
      <c r="G193" s="8" t="str">
        <f t="shared" si="1"/>
        <v/>
      </c>
    </row>
    <row r="194" ht="15.75" customHeight="1">
      <c r="A194" s="8"/>
      <c r="B194" s="8"/>
      <c r="C194" s="8"/>
      <c r="D194" s="8"/>
      <c r="E194" s="8" t="str">
        <f>IF(A194="","",D194+SUMIFS('Movimentações'!$E$2:$E1000,'Movimentações'!$C$2:$C1000,A194,'Movimentações'!$B$2:$B1000,"Entrada")-SUMIFS('Movimentações'!$E$2:$E1000,'Movimentações'!$C$2:$C1000,A194,'Movimentações'!$B$2:$B1000,"Saída"))</f>
        <v/>
      </c>
      <c r="F194" s="8" t="str">
        <f t="shared" si="2"/>
        <v/>
      </c>
      <c r="G194" s="8" t="str">
        <f t="shared" si="1"/>
        <v/>
      </c>
    </row>
    <row r="195" ht="15.75" customHeight="1">
      <c r="A195" s="8"/>
      <c r="B195" s="8"/>
      <c r="C195" s="8"/>
      <c r="D195" s="8"/>
      <c r="E195" s="8" t="str">
        <f>IF(A195="","",D195+SUMIFS('Movimentações'!$E$2:$E1000,'Movimentações'!$C$2:$C1000,A195,'Movimentações'!$B$2:$B1000,"Entrada")-SUMIFS('Movimentações'!$E$2:$E1000,'Movimentações'!$C$2:$C1000,A195,'Movimentações'!$B$2:$B1000,"Saída"))</f>
        <v/>
      </c>
      <c r="F195" s="8" t="str">
        <f t="shared" si="2"/>
        <v/>
      </c>
      <c r="G195" s="8" t="str">
        <f t="shared" si="1"/>
        <v/>
      </c>
    </row>
    <row r="196" ht="15.75" customHeight="1">
      <c r="A196" s="8"/>
      <c r="B196" s="8"/>
      <c r="C196" s="8"/>
      <c r="D196" s="8"/>
      <c r="E196" s="8" t="str">
        <f>IF(A196="","",D196+SUMIFS('Movimentações'!$E$2:$E1000,'Movimentações'!$C$2:$C1000,A196,'Movimentações'!$B$2:$B1000,"Entrada")-SUMIFS('Movimentações'!$E$2:$E1000,'Movimentações'!$C$2:$C1000,A196,'Movimentações'!$B$2:$B1000,"Saída"))</f>
        <v/>
      </c>
      <c r="F196" s="8" t="str">
        <f t="shared" si="2"/>
        <v/>
      </c>
      <c r="G196" s="8" t="str">
        <f t="shared" si="1"/>
        <v/>
      </c>
    </row>
    <row r="197" ht="15.75" customHeight="1">
      <c r="A197" s="8"/>
      <c r="B197" s="8"/>
      <c r="C197" s="8"/>
      <c r="D197" s="8"/>
      <c r="E197" s="8" t="str">
        <f>IF(A197="","",D197+SUMIFS('Movimentações'!$E$2:$E1000,'Movimentações'!$C$2:$C1000,A197,'Movimentações'!$B$2:$B1000,"Entrada")-SUMIFS('Movimentações'!$E$2:$E1000,'Movimentações'!$C$2:$C1000,A197,'Movimentações'!$B$2:$B1000,"Saída"))</f>
        <v/>
      </c>
      <c r="F197" s="8" t="str">
        <f t="shared" si="2"/>
        <v/>
      </c>
      <c r="G197" s="8" t="str">
        <f t="shared" si="1"/>
        <v/>
      </c>
    </row>
    <row r="198" ht="15.75" customHeight="1">
      <c r="A198" s="8"/>
      <c r="B198" s="8"/>
      <c r="C198" s="8"/>
      <c r="D198" s="8"/>
      <c r="E198" s="8" t="str">
        <f>IF(A198="","",D198+SUMIFS('Movimentações'!$E$2:$E1000,'Movimentações'!$C$2:$C1000,A198,'Movimentações'!$B$2:$B1000,"Entrada")-SUMIFS('Movimentações'!$E$2:$E1000,'Movimentações'!$C$2:$C1000,A198,'Movimentações'!$B$2:$B1000,"Saída"))</f>
        <v/>
      </c>
      <c r="F198" s="8" t="str">
        <f t="shared" si="2"/>
        <v/>
      </c>
      <c r="G198" s="8" t="str">
        <f t="shared" si="1"/>
        <v/>
      </c>
    </row>
    <row r="199" ht="15.75" customHeight="1">
      <c r="A199" s="8"/>
      <c r="B199" s="8"/>
      <c r="C199" s="8"/>
      <c r="D199" s="8"/>
      <c r="E199" s="8" t="str">
        <f>IF(A199="","",D199+SUMIFS('Movimentações'!$E$2:$E1000,'Movimentações'!$C$2:$C1000,A199,'Movimentações'!$B$2:$B1000,"Entrada")-SUMIFS('Movimentações'!$E$2:$E1000,'Movimentações'!$C$2:$C1000,A199,'Movimentações'!$B$2:$B1000,"Saída"))</f>
        <v/>
      </c>
      <c r="F199" s="8" t="str">
        <f t="shared" si="2"/>
        <v/>
      </c>
      <c r="G199" s="8" t="str">
        <f t="shared" si="1"/>
        <v/>
      </c>
    </row>
    <row r="200" ht="15.75" customHeight="1">
      <c r="A200" s="8"/>
      <c r="B200" s="8"/>
      <c r="C200" s="8"/>
      <c r="D200" s="8"/>
      <c r="E200" s="8" t="str">
        <f>IF(A200="","",D200+SUMIFS('Movimentações'!$E$2:$E1000,'Movimentações'!$C$2:$C1000,A200,'Movimentações'!$B$2:$B1000,"Entrada")-SUMIFS('Movimentações'!$E$2:$E1000,'Movimentações'!$C$2:$C1000,A200,'Movimentações'!$B$2:$B1000,"Saída"))</f>
        <v/>
      </c>
      <c r="F200" s="8" t="str">
        <f t="shared" si="2"/>
        <v/>
      </c>
      <c r="G200" s="8" t="str">
        <f t="shared" si="1"/>
        <v/>
      </c>
    </row>
    <row r="201" ht="15.75" customHeight="1">
      <c r="A201" s="8"/>
      <c r="B201" s="8"/>
      <c r="C201" s="8"/>
      <c r="D201" s="8"/>
      <c r="E201" s="8" t="str">
        <f>IF(A201="","",D201+SUMIFS('Movimentações'!$E$2:$E1000,'Movimentações'!$C$2:$C1000,A201,'Movimentações'!$B$2:$B1000,"Entrada")-SUMIFS('Movimentações'!$E$2:$E1000,'Movimentações'!$C$2:$C1000,A201,'Movimentações'!$B$2:$B1000,"Saída"))</f>
        <v/>
      </c>
      <c r="F201" s="8" t="str">
        <f t="shared" si="2"/>
        <v/>
      </c>
      <c r="G201" s="8" t="str">
        <f t="shared" si="1"/>
        <v/>
      </c>
    </row>
    <row r="202" ht="15.75" customHeight="1">
      <c r="A202" s="8"/>
      <c r="B202" s="8"/>
      <c r="C202" s="8"/>
      <c r="D202" s="8"/>
      <c r="E202" s="8" t="str">
        <f>IF(A202="","",D202+SUMIFS('Movimentações'!$E$2:$E1000,'Movimentações'!$C$2:$C1000,A202,'Movimentações'!$B$2:$B1000,"Entrada")-SUMIFS('Movimentações'!$E$2:$E1000,'Movimentações'!$C$2:$C1000,A202,'Movimentações'!$B$2:$B1000,"Saída"))</f>
        <v/>
      </c>
      <c r="F202" s="8" t="str">
        <f t="shared" si="2"/>
        <v/>
      </c>
      <c r="G202" s="8" t="str">
        <f t="shared" si="1"/>
        <v/>
      </c>
    </row>
    <row r="203" ht="15.75" customHeight="1">
      <c r="A203" s="8"/>
      <c r="B203" s="8"/>
      <c r="C203" s="8"/>
      <c r="D203" s="8"/>
      <c r="E203" s="8" t="str">
        <f>IF(A203="","",D203+SUMIFS('Movimentações'!$E$2:$E1000,'Movimentações'!$C$2:$C1000,A203,'Movimentações'!$B$2:$B1000,"Entrada")-SUMIFS('Movimentações'!$E$2:$E1000,'Movimentações'!$C$2:$C1000,A203,'Movimentações'!$B$2:$B1000,"Saída"))</f>
        <v/>
      </c>
      <c r="F203" s="8" t="str">
        <f t="shared" si="2"/>
        <v/>
      </c>
      <c r="G203" s="8" t="str">
        <f t="shared" si="1"/>
        <v/>
      </c>
    </row>
    <row r="204" ht="15.75" customHeight="1">
      <c r="A204" s="8"/>
      <c r="B204" s="8"/>
      <c r="C204" s="8"/>
      <c r="D204" s="8"/>
      <c r="E204" s="8" t="str">
        <f>IF(A204="","",D204+SUMIFS('Movimentações'!$E$2:$E1000,'Movimentações'!$C$2:$C1000,A204,'Movimentações'!$B$2:$B1000,"Entrada")-SUMIFS('Movimentações'!$E$2:$E1000,'Movimentações'!$C$2:$C1000,A204,'Movimentações'!$B$2:$B1000,"Saída"))</f>
        <v/>
      </c>
      <c r="F204" s="8" t="str">
        <f t="shared" si="2"/>
        <v/>
      </c>
      <c r="G204" s="8" t="str">
        <f t="shared" si="1"/>
        <v/>
      </c>
    </row>
    <row r="205" ht="15.75" customHeight="1">
      <c r="A205" s="8"/>
      <c r="B205" s="8"/>
      <c r="C205" s="8"/>
      <c r="D205" s="8"/>
      <c r="E205" s="8" t="str">
        <f>IF(A205="","",D205+SUMIFS('Movimentações'!$E$2:$E1000,'Movimentações'!$C$2:$C1000,A205,'Movimentações'!$B$2:$B1000,"Entrada")-SUMIFS('Movimentações'!$E$2:$E1000,'Movimentações'!$C$2:$C1000,A205,'Movimentações'!$B$2:$B1000,"Saída"))</f>
        <v/>
      </c>
      <c r="F205" s="8" t="str">
        <f t="shared" si="2"/>
        <v/>
      </c>
      <c r="G205" s="8" t="str">
        <f t="shared" si="1"/>
        <v/>
      </c>
    </row>
    <row r="206" ht="15.75" customHeight="1">
      <c r="A206" s="8"/>
      <c r="B206" s="8"/>
      <c r="C206" s="8"/>
      <c r="D206" s="8"/>
      <c r="E206" s="8" t="str">
        <f>IF(A206="","",D206+SUMIFS('Movimentações'!$E$2:$E1000,'Movimentações'!$C$2:$C1000,A206,'Movimentações'!$B$2:$B1000,"Entrada")-SUMIFS('Movimentações'!$E$2:$E1000,'Movimentações'!$C$2:$C1000,A206,'Movimentações'!$B$2:$B1000,"Saída"))</f>
        <v/>
      </c>
      <c r="F206" s="8" t="str">
        <f t="shared" si="2"/>
        <v/>
      </c>
      <c r="G206" s="8" t="str">
        <f t="shared" si="1"/>
        <v/>
      </c>
    </row>
    <row r="207" ht="15.75" customHeight="1">
      <c r="A207" s="8"/>
      <c r="B207" s="8"/>
      <c r="C207" s="8"/>
      <c r="D207" s="8"/>
      <c r="E207" s="8" t="str">
        <f>IF(A207="","",D207+SUMIFS('Movimentações'!$E$2:$E1000,'Movimentações'!$C$2:$C1000,A207,'Movimentações'!$B$2:$B1000,"Entrada")-SUMIFS('Movimentações'!$E$2:$E1000,'Movimentações'!$C$2:$C1000,A207,'Movimentações'!$B$2:$B1000,"Saída"))</f>
        <v/>
      </c>
      <c r="F207" s="8" t="str">
        <f t="shared" si="2"/>
        <v/>
      </c>
      <c r="G207" s="8" t="str">
        <f t="shared" si="1"/>
        <v/>
      </c>
    </row>
    <row r="208" ht="15.75" customHeight="1">
      <c r="A208" s="8"/>
      <c r="B208" s="8"/>
      <c r="C208" s="8"/>
      <c r="D208" s="8"/>
      <c r="E208" s="8" t="str">
        <f>IF(A208="","",D208+SUMIFS('Movimentações'!$E$2:$E1000,'Movimentações'!$C$2:$C1000,A208,'Movimentações'!$B$2:$B1000,"Entrada")-SUMIFS('Movimentações'!$E$2:$E1000,'Movimentações'!$C$2:$C1000,A208,'Movimentações'!$B$2:$B1000,"Saída"))</f>
        <v/>
      </c>
      <c r="F208" s="8" t="str">
        <f t="shared" si="2"/>
        <v/>
      </c>
      <c r="G208" s="8" t="str">
        <f t="shared" si="1"/>
        <v/>
      </c>
    </row>
    <row r="209" ht="15.75" customHeight="1">
      <c r="A209" s="8"/>
      <c r="B209" s="8"/>
      <c r="C209" s="8"/>
      <c r="D209" s="8"/>
      <c r="E209" s="8" t="str">
        <f>IF(A209="","",D209+SUMIFS('Movimentações'!$E$2:$E1000,'Movimentações'!$C$2:$C1000,A209,'Movimentações'!$B$2:$B1000,"Entrada")-SUMIFS('Movimentações'!$E$2:$E1000,'Movimentações'!$C$2:$C1000,A209,'Movimentações'!$B$2:$B1000,"Saída"))</f>
        <v/>
      </c>
      <c r="F209" s="8" t="str">
        <f t="shared" si="2"/>
        <v/>
      </c>
      <c r="G209" s="8" t="str">
        <f t="shared" si="1"/>
        <v/>
      </c>
    </row>
    <row r="210" ht="15.75" customHeight="1">
      <c r="A210" s="8"/>
      <c r="B210" s="8"/>
      <c r="C210" s="8"/>
      <c r="D210" s="8"/>
      <c r="E210" s="8" t="str">
        <f>IF(A210="","",D210+SUMIFS('Movimentações'!$E$2:$E1000,'Movimentações'!$C$2:$C1000,A210,'Movimentações'!$B$2:$B1000,"Entrada")-SUMIFS('Movimentações'!$E$2:$E1000,'Movimentações'!$C$2:$C1000,A210,'Movimentações'!$B$2:$B1000,"Saída"))</f>
        <v/>
      </c>
      <c r="F210" s="8" t="str">
        <f t="shared" si="2"/>
        <v/>
      </c>
      <c r="G210" s="8" t="str">
        <f t="shared" si="1"/>
        <v/>
      </c>
    </row>
    <row r="211" ht="15.75" customHeight="1">
      <c r="A211" s="8"/>
      <c r="B211" s="8"/>
      <c r="C211" s="8"/>
      <c r="D211" s="8"/>
      <c r="E211" s="8" t="str">
        <f>IF(A211="","",D211+SUMIFS('Movimentações'!$E$2:$E1000,'Movimentações'!$C$2:$C1000,A211,'Movimentações'!$B$2:$B1000,"Entrada")-SUMIFS('Movimentações'!$E$2:$E1000,'Movimentações'!$C$2:$C1000,A211,'Movimentações'!$B$2:$B1000,"Saída"))</f>
        <v/>
      </c>
      <c r="F211" s="8" t="str">
        <f t="shared" si="2"/>
        <v/>
      </c>
      <c r="G211" s="8" t="str">
        <f t="shared" si="1"/>
        <v/>
      </c>
    </row>
    <row r="212" ht="15.75" customHeight="1">
      <c r="A212" s="8"/>
      <c r="B212" s="8"/>
      <c r="C212" s="8"/>
      <c r="D212" s="8"/>
      <c r="E212" s="8" t="str">
        <f>IF(A212="","",D212+SUMIFS('Movimentações'!$E$2:$E1000,'Movimentações'!$C$2:$C1000,A212,'Movimentações'!$B$2:$B1000,"Entrada")-SUMIFS('Movimentações'!$E$2:$E1000,'Movimentações'!$C$2:$C1000,A212,'Movimentações'!$B$2:$B1000,"Saída"))</f>
        <v/>
      </c>
      <c r="F212" s="8" t="str">
        <f t="shared" si="2"/>
        <v/>
      </c>
      <c r="G212" s="8" t="str">
        <f t="shared" si="1"/>
        <v/>
      </c>
    </row>
    <row r="213" ht="15.75" customHeight="1">
      <c r="A213" s="8"/>
      <c r="B213" s="8"/>
      <c r="C213" s="8"/>
      <c r="D213" s="8"/>
      <c r="E213" s="8" t="str">
        <f>IF(A213="","",D213+SUMIFS('Movimentações'!$E$2:$E1000,'Movimentações'!$C$2:$C1000,A213,'Movimentações'!$B$2:$B1000,"Entrada")-SUMIFS('Movimentações'!$E$2:$E1000,'Movimentações'!$C$2:$C1000,A213,'Movimentações'!$B$2:$B1000,"Saída"))</f>
        <v/>
      </c>
      <c r="F213" s="8" t="str">
        <f t="shared" si="2"/>
        <v/>
      </c>
      <c r="G213" s="8" t="str">
        <f t="shared" si="1"/>
        <v/>
      </c>
    </row>
    <row r="214" ht="15.75" customHeight="1">
      <c r="A214" s="8"/>
      <c r="B214" s="8"/>
      <c r="C214" s="8"/>
      <c r="D214" s="8"/>
      <c r="E214" s="8" t="str">
        <f>IF(A214="","",D214+SUMIFS('Movimentações'!$E$2:$E1000,'Movimentações'!$C$2:$C1000,A214,'Movimentações'!$B$2:$B1000,"Entrada")-SUMIFS('Movimentações'!$E$2:$E1000,'Movimentações'!$C$2:$C1000,A214,'Movimentações'!$B$2:$B1000,"Saída"))</f>
        <v/>
      </c>
      <c r="F214" s="8" t="str">
        <f t="shared" si="2"/>
        <v/>
      </c>
      <c r="G214" s="8" t="str">
        <f t="shared" si="1"/>
        <v/>
      </c>
    </row>
    <row r="215" ht="15.75" customHeight="1">
      <c r="A215" s="8"/>
      <c r="B215" s="8"/>
      <c r="C215" s="8"/>
      <c r="D215" s="8"/>
      <c r="E215" s="8" t="str">
        <f>IF(A215="","",D215+SUMIFS('Movimentações'!$E$2:$E1000,'Movimentações'!$C$2:$C1000,A215,'Movimentações'!$B$2:$B1000,"Entrada")-SUMIFS('Movimentações'!$E$2:$E1000,'Movimentações'!$C$2:$C1000,A215,'Movimentações'!$B$2:$B1000,"Saída"))</f>
        <v/>
      </c>
      <c r="F215" s="8" t="str">
        <f t="shared" si="2"/>
        <v/>
      </c>
      <c r="G215" s="8" t="str">
        <f t="shared" si="1"/>
        <v/>
      </c>
    </row>
    <row r="216" ht="15.75" customHeight="1">
      <c r="A216" s="8"/>
      <c r="B216" s="8"/>
      <c r="C216" s="8"/>
      <c r="D216" s="8"/>
      <c r="E216" s="8" t="str">
        <f>IF(A216="","",D216+SUMIFS('Movimentações'!$E$2:$E1000,'Movimentações'!$C$2:$C1000,A216,'Movimentações'!$B$2:$B1000,"Entrada")-SUMIFS('Movimentações'!$E$2:$E1000,'Movimentações'!$C$2:$C1000,A216,'Movimentações'!$B$2:$B1000,"Saída"))</f>
        <v/>
      </c>
      <c r="F216" s="8" t="str">
        <f t="shared" si="2"/>
        <v/>
      </c>
      <c r="G216" s="8" t="str">
        <f t="shared" si="1"/>
        <v/>
      </c>
    </row>
    <row r="217" ht="15.75" customHeight="1">
      <c r="A217" s="8"/>
      <c r="B217" s="8"/>
      <c r="C217" s="8"/>
      <c r="D217" s="8"/>
      <c r="E217" s="8" t="str">
        <f>IF(A217="","",D217+SUMIFS('Movimentações'!$E$2:$E1000,'Movimentações'!$C$2:$C1000,A217,'Movimentações'!$B$2:$B1000,"Entrada")-SUMIFS('Movimentações'!$E$2:$E1000,'Movimentações'!$C$2:$C1000,A217,'Movimentações'!$B$2:$B1000,"Saída"))</f>
        <v/>
      </c>
      <c r="F217" s="8" t="str">
        <f t="shared" si="2"/>
        <v/>
      </c>
      <c r="G217" s="8" t="str">
        <f t="shared" si="1"/>
        <v/>
      </c>
    </row>
    <row r="218" ht="15.75" customHeight="1">
      <c r="A218" s="8"/>
      <c r="B218" s="8"/>
      <c r="C218" s="8"/>
      <c r="D218" s="8"/>
      <c r="E218" s="8" t="str">
        <f>IF(A218="","",D218+SUMIFS('Movimentações'!$E$2:$E1000,'Movimentações'!$C$2:$C1000,A218,'Movimentações'!$B$2:$B1000,"Entrada")-SUMIFS('Movimentações'!$E$2:$E1000,'Movimentações'!$C$2:$C1000,A218,'Movimentações'!$B$2:$B1000,"Saída"))</f>
        <v/>
      </c>
      <c r="F218" s="8" t="str">
        <f t="shared" si="2"/>
        <v/>
      </c>
      <c r="G218" s="8" t="str">
        <f t="shared" si="1"/>
        <v/>
      </c>
    </row>
    <row r="219" ht="15.75" customHeight="1">
      <c r="A219" s="8"/>
      <c r="B219" s="8"/>
      <c r="C219" s="8"/>
      <c r="D219" s="8"/>
      <c r="E219" s="8" t="str">
        <f>IF(A219="","",D219+SUMIFS('Movimentações'!$E$2:$E1000,'Movimentações'!$C$2:$C1000,A219,'Movimentações'!$B$2:$B1000,"Entrada")-SUMIFS('Movimentações'!$E$2:$E1000,'Movimentações'!$C$2:$C1000,A219,'Movimentações'!$B$2:$B1000,"Saída"))</f>
        <v/>
      </c>
      <c r="F219" s="8" t="str">
        <f t="shared" si="2"/>
        <v/>
      </c>
      <c r="G219" s="8" t="str">
        <f t="shared" si="1"/>
        <v/>
      </c>
    </row>
    <row r="220" ht="15.75" customHeight="1">
      <c r="A220" s="8"/>
      <c r="B220" s="8"/>
      <c r="C220" s="8"/>
      <c r="D220" s="8"/>
      <c r="E220" s="8" t="str">
        <f>IF(A220="","",D220+SUMIFS('Movimentações'!$E$2:$E1000,'Movimentações'!$C$2:$C1000,A220,'Movimentações'!$B$2:$B1000,"Entrada")-SUMIFS('Movimentações'!$E$2:$E1000,'Movimentações'!$C$2:$C1000,A220,'Movimentações'!$B$2:$B1000,"Saída"))</f>
        <v/>
      </c>
      <c r="F220" s="8" t="str">
        <f t="shared" si="2"/>
        <v/>
      </c>
      <c r="G220" s="8" t="str">
        <f t="shared" si="1"/>
        <v/>
      </c>
    </row>
    <row r="221" ht="15.75" customHeight="1">
      <c r="A221" s="8"/>
      <c r="B221" s="8"/>
      <c r="C221" s="8"/>
      <c r="D221" s="8"/>
      <c r="E221" s="8" t="str">
        <f>IF(A221="","",D221+SUMIFS('Movimentações'!$E$2:$E1000,'Movimentações'!$C$2:$C1000,A221,'Movimentações'!$B$2:$B1000,"Entrada")-SUMIFS('Movimentações'!$E$2:$E1000,'Movimentações'!$C$2:$C1000,A221,'Movimentações'!$B$2:$B1000,"Saída"))</f>
        <v/>
      </c>
      <c r="F221" s="8" t="str">
        <f t="shared" si="2"/>
        <v/>
      </c>
      <c r="G221" s="8" t="str">
        <f t="shared" si="1"/>
        <v/>
      </c>
    </row>
    <row r="222" ht="15.75" customHeight="1">
      <c r="A222" s="8"/>
      <c r="B222" s="8"/>
      <c r="C222" s="8"/>
      <c r="D222" s="8"/>
      <c r="E222" s="8" t="str">
        <f>IF(A222="","",D222+SUMIFS('Movimentações'!$E$2:$E1000,'Movimentações'!$C$2:$C1000,A222,'Movimentações'!$B$2:$B1000,"Entrada")-SUMIFS('Movimentações'!$E$2:$E1000,'Movimentações'!$C$2:$C1000,A222,'Movimentações'!$B$2:$B1000,"Saída"))</f>
        <v/>
      </c>
      <c r="F222" s="8" t="str">
        <f t="shared" si="2"/>
        <v/>
      </c>
      <c r="G222" s="8" t="str">
        <f t="shared" si="1"/>
        <v/>
      </c>
    </row>
    <row r="223" ht="15.75" customHeight="1">
      <c r="A223" s="8"/>
      <c r="B223" s="8"/>
      <c r="C223" s="8"/>
      <c r="D223" s="8"/>
      <c r="E223" s="8" t="str">
        <f>IF(A223="","",D223+SUMIFS('Movimentações'!$E$2:$E1000,'Movimentações'!$C$2:$C1000,A223,'Movimentações'!$B$2:$B1000,"Entrada")-SUMIFS('Movimentações'!$E$2:$E1000,'Movimentações'!$C$2:$C1000,A223,'Movimentações'!$B$2:$B1000,"Saída"))</f>
        <v/>
      </c>
      <c r="F223" s="8" t="str">
        <f t="shared" si="2"/>
        <v/>
      </c>
      <c r="G223" s="8" t="str">
        <f t="shared" si="1"/>
        <v/>
      </c>
    </row>
    <row r="224" ht="15.75" customHeight="1">
      <c r="A224" s="8"/>
      <c r="B224" s="8"/>
      <c r="C224" s="8"/>
      <c r="D224" s="8"/>
      <c r="E224" s="8" t="str">
        <f>IF(A224="","",D224+SUMIFS('Movimentações'!$E$2:$E1000,'Movimentações'!$C$2:$C1000,A224,'Movimentações'!$B$2:$B1000,"Entrada")-SUMIFS('Movimentações'!$E$2:$E1000,'Movimentações'!$C$2:$C1000,A224,'Movimentações'!$B$2:$B1000,"Saída"))</f>
        <v/>
      </c>
      <c r="F224" s="8" t="str">
        <f t="shared" si="2"/>
        <v/>
      </c>
      <c r="G224" s="8" t="str">
        <f t="shared" si="1"/>
        <v/>
      </c>
    </row>
    <row r="225" ht="15.75" customHeight="1">
      <c r="A225" s="8"/>
      <c r="B225" s="8"/>
      <c r="C225" s="8"/>
      <c r="D225" s="8"/>
      <c r="E225" s="8" t="str">
        <f>IF(A225="","",D225+SUMIFS('Movimentações'!$E$2:$E1000,'Movimentações'!$C$2:$C1000,A225,'Movimentações'!$B$2:$B1000,"Entrada")-SUMIFS('Movimentações'!$E$2:$E1000,'Movimentações'!$C$2:$C1000,A225,'Movimentações'!$B$2:$B1000,"Saída"))</f>
        <v/>
      </c>
      <c r="F225" s="8" t="str">
        <f t="shared" si="2"/>
        <v/>
      </c>
      <c r="G225" s="8" t="str">
        <f t="shared" si="1"/>
        <v/>
      </c>
    </row>
    <row r="226" ht="15.75" customHeight="1">
      <c r="A226" s="8"/>
      <c r="B226" s="8"/>
      <c r="C226" s="8"/>
      <c r="D226" s="8"/>
      <c r="E226" s="8" t="str">
        <f>IF(A226="","",D226+SUMIFS('Movimentações'!$E$2:$E1000,'Movimentações'!$C$2:$C1000,A226,'Movimentações'!$B$2:$B1000,"Entrada")-SUMIFS('Movimentações'!$E$2:$E1000,'Movimentações'!$C$2:$C1000,A226,'Movimentações'!$B$2:$B1000,"Saída"))</f>
        <v/>
      </c>
      <c r="F226" s="8" t="str">
        <f t="shared" si="2"/>
        <v/>
      </c>
      <c r="G226" s="8" t="str">
        <f t="shared" si="1"/>
        <v/>
      </c>
    </row>
    <row r="227" ht="15.75" customHeight="1">
      <c r="A227" s="8"/>
      <c r="B227" s="8"/>
      <c r="C227" s="8"/>
      <c r="D227" s="8"/>
      <c r="E227" s="8" t="str">
        <f>IF(A227="","",D227+SUMIFS('Movimentações'!$E$2:$E1000,'Movimentações'!$C$2:$C1000,A227,'Movimentações'!$B$2:$B1000,"Entrada")-SUMIFS('Movimentações'!$E$2:$E1000,'Movimentações'!$C$2:$C1000,A227,'Movimentações'!$B$2:$B1000,"Saída"))</f>
        <v/>
      </c>
      <c r="F227" s="8" t="str">
        <f t="shared" si="2"/>
        <v/>
      </c>
      <c r="G227" s="8" t="str">
        <f t="shared" si="1"/>
        <v/>
      </c>
    </row>
    <row r="228" ht="15.75" customHeight="1">
      <c r="A228" s="8"/>
      <c r="B228" s="8"/>
      <c r="C228" s="8"/>
      <c r="D228" s="8"/>
      <c r="E228" s="8" t="str">
        <f>IF(A228="","",D228+SUMIFS('Movimentações'!$E$2:$E1000,'Movimentações'!$C$2:$C1000,A228,'Movimentações'!$B$2:$B1000,"Entrada")-SUMIFS('Movimentações'!$E$2:$E1000,'Movimentações'!$C$2:$C1000,A228,'Movimentações'!$B$2:$B1000,"Saída"))</f>
        <v/>
      </c>
      <c r="F228" s="8" t="str">
        <f t="shared" si="2"/>
        <v/>
      </c>
      <c r="G228" s="8" t="str">
        <f t="shared" si="1"/>
        <v/>
      </c>
    </row>
    <row r="229" ht="15.75" customHeight="1">
      <c r="A229" s="8"/>
      <c r="B229" s="8"/>
      <c r="C229" s="8"/>
      <c r="D229" s="8"/>
      <c r="E229" s="8" t="str">
        <f>IF(A229="","",D229+SUMIFS('Movimentações'!$E$2:$E1000,'Movimentações'!$C$2:$C1000,A229,'Movimentações'!$B$2:$B1000,"Entrada")-SUMIFS('Movimentações'!$E$2:$E1000,'Movimentações'!$C$2:$C1000,A229,'Movimentações'!$B$2:$B1000,"Saída"))</f>
        <v/>
      </c>
      <c r="F229" s="8" t="str">
        <f t="shared" si="2"/>
        <v/>
      </c>
      <c r="G229" s="8" t="str">
        <f t="shared" si="1"/>
        <v/>
      </c>
    </row>
    <row r="230" ht="15.75" customHeight="1">
      <c r="A230" s="8"/>
      <c r="B230" s="8"/>
      <c r="C230" s="8"/>
      <c r="D230" s="8"/>
      <c r="E230" s="8" t="str">
        <f>IF(A230="","",D230+SUMIFS('Movimentações'!$E$2:$E1000,'Movimentações'!$C$2:$C1000,A230,'Movimentações'!$B$2:$B1000,"Entrada")-SUMIFS('Movimentações'!$E$2:$E1000,'Movimentações'!$C$2:$C1000,A230,'Movimentações'!$B$2:$B1000,"Saída"))</f>
        <v/>
      </c>
      <c r="F230" s="8" t="str">
        <f t="shared" si="2"/>
        <v/>
      </c>
      <c r="G230" s="8" t="str">
        <f t="shared" si="1"/>
        <v/>
      </c>
    </row>
    <row r="231" ht="15.75" customHeight="1">
      <c r="A231" s="8"/>
      <c r="B231" s="8"/>
      <c r="C231" s="8"/>
      <c r="D231" s="8"/>
      <c r="E231" s="8" t="str">
        <f>IF(A231="","",D231+SUMIFS('Movimentações'!$E$2:$E1000,'Movimentações'!$C$2:$C1000,A231,'Movimentações'!$B$2:$B1000,"Entrada")-SUMIFS('Movimentações'!$E$2:$E1000,'Movimentações'!$C$2:$C1000,A231,'Movimentações'!$B$2:$B1000,"Saída"))</f>
        <v/>
      </c>
      <c r="F231" s="8" t="str">
        <f t="shared" si="2"/>
        <v/>
      </c>
      <c r="G231" s="8" t="str">
        <f t="shared" si="1"/>
        <v/>
      </c>
    </row>
    <row r="232" ht="15.75" customHeight="1">
      <c r="A232" s="8"/>
      <c r="B232" s="8"/>
      <c r="C232" s="8"/>
      <c r="D232" s="8"/>
      <c r="E232" s="8" t="str">
        <f>IF(A232="","",D232+SUMIFS('Movimentações'!$E$2:$E1000,'Movimentações'!$C$2:$C1000,A232,'Movimentações'!$B$2:$B1000,"Entrada")-SUMIFS('Movimentações'!$E$2:$E1000,'Movimentações'!$C$2:$C1000,A232,'Movimentações'!$B$2:$B1000,"Saída"))</f>
        <v/>
      </c>
      <c r="F232" s="8" t="str">
        <f t="shared" si="2"/>
        <v/>
      </c>
      <c r="G232" s="8" t="str">
        <f t="shared" si="1"/>
        <v/>
      </c>
    </row>
    <row r="233" ht="15.75" customHeight="1">
      <c r="A233" s="8"/>
      <c r="B233" s="8"/>
      <c r="C233" s="8"/>
      <c r="D233" s="8"/>
      <c r="E233" s="8" t="str">
        <f>IF(A233="","",D233+SUMIFS('Movimentações'!$E$2:$E1000,'Movimentações'!$C$2:$C1000,A233,'Movimentações'!$B$2:$B1000,"Entrada")-SUMIFS('Movimentações'!$E$2:$E1000,'Movimentações'!$C$2:$C1000,A233,'Movimentações'!$B$2:$B1000,"Saída"))</f>
        <v/>
      </c>
      <c r="F233" s="8" t="str">
        <f t="shared" si="2"/>
        <v/>
      </c>
      <c r="G233" s="8" t="str">
        <f t="shared" si="1"/>
        <v/>
      </c>
    </row>
    <row r="234" ht="15.75" customHeight="1">
      <c r="A234" s="8"/>
      <c r="B234" s="8"/>
      <c r="C234" s="8"/>
      <c r="D234" s="8"/>
      <c r="E234" s="8" t="str">
        <f>IF(A234="","",D234+SUMIFS('Movimentações'!$E$2:$E1000,'Movimentações'!$C$2:$C1000,A234,'Movimentações'!$B$2:$B1000,"Entrada")-SUMIFS('Movimentações'!$E$2:$E1000,'Movimentações'!$C$2:$C1000,A234,'Movimentações'!$B$2:$B1000,"Saída"))</f>
        <v/>
      </c>
      <c r="F234" s="8" t="str">
        <f t="shared" si="2"/>
        <v/>
      </c>
      <c r="G234" s="8" t="str">
        <f t="shared" si="1"/>
        <v/>
      </c>
    </row>
    <row r="235" ht="15.75" customHeight="1">
      <c r="A235" s="8"/>
      <c r="B235" s="8"/>
      <c r="C235" s="8"/>
      <c r="D235" s="8"/>
      <c r="E235" s="8" t="str">
        <f>IF(A235="","",D235+SUMIFS('Movimentações'!$E$2:$E1000,'Movimentações'!$C$2:$C1000,A235,'Movimentações'!$B$2:$B1000,"Entrada")-SUMIFS('Movimentações'!$E$2:$E1000,'Movimentações'!$C$2:$C1000,A235,'Movimentações'!$B$2:$B1000,"Saída"))</f>
        <v/>
      </c>
      <c r="F235" s="8" t="str">
        <f t="shared" si="2"/>
        <v/>
      </c>
      <c r="G235" s="8" t="str">
        <f t="shared" si="1"/>
        <v/>
      </c>
    </row>
    <row r="236" ht="15.75" customHeight="1">
      <c r="A236" s="8"/>
      <c r="B236" s="8"/>
      <c r="C236" s="8"/>
      <c r="D236" s="8"/>
      <c r="E236" s="8" t="str">
        <f>IF(A236="","",D236+SUMIFS('Movimentações'!$E$2:$E1000,'Movimentações'!$C$2:$C1000,A236,'Movimentações'!$B$2:$B1000,"Entrada")-SUMIFS('Movimentações'!$E$2:$E1000,'Movimentações'!$C$2:$C1000,A236,'Movimentações'!$B$2:$B1000,"Saída"))</f>
        <v/>
      </c>
      <c r="F236" s="8" t="str">
        <f t="shared" si="2"/>
        <v/>
      </c>
      <c r="G236" s="8" t="str">
        <f t="shared" si="1"/>
        <v/>
      </c>
    </row>
    <row r="237" ht="15.75" customHeight="1">
      <c r="A237" s="8"/>
      <c r="B237" s="8"/>
      <c r="C237" s="8"/>
      <c r="D237" s="8"/>
      <c r="E237" s="8" t="str">
        <f>IF(A237="","",D237+SUMIFS('Movimentações'!$E$2:$E1000,'Movimentações'!$C$2:$C1000,A237,'Movimentações'!$B$2:$B1000,"Entrada")-SUMIFS('Movimentações'!$E$2:$E1000,'Movimentações'!$C$2:$C1000,A237,'Movimentações'!$B$2:$B1000,"Saída"))</f>
        <v/>
      </c>
      <c r="F237" s="8" t="str">
        <f t="shared" si="2"/>
        <v/>
      </c>
      <c r="G237" s="8" t="str">
        <f t="shared" si="1"/>
        <v/>
      </c>
    </row>
    <row r="238" ht="15.75" customHeight="1">
      <c r="A238" s="8"/>
      <c r="B238" s="8"/>
      <c r="C238" s="8"/>
      <c r="D238" s="8"/>
      <c r="E238" s="8" t="str">
        <f>IF(A238="","",D238+SUMIFS('Movimentações'!$E$2:$E1000,'Movimentações'!$C$2:$C1000,A238,'Movimentações'!$B$2:$B1000,"Entrada")-SUMIFS('Movimentações'!$E$2:$E1000,'Movimentações'!$C$2:$C1000,A238,'Movimentações'!$B$2:$B1000,"Saída"))</f>
        <v/>
      </c>
      <c r="F238" s="8" t="str">
        <f t="shared" si="2"/>
        <v/>
      </c>
      <c r="G238" s="8" t="str">
        <f t="shared" si="1"/>
        <v/>
      </c>
    </row>
    <row r="239" ht="15.75" customHeight="1">
      <c r="A239" s="8"/>
      <c r="B239" s="8"/>
      <c r="C239" s="8"/>
      <c r="D239" s="8"/>
      <c r="E239" s="8" t="str">
        <f>IF(A239="","",D239+SUMIFS('Movimentações'!$E$2:$E1000,'Movimentações'!$C$2:$C1000,A239,'Movimentações'!$B$2:$B1000,"Entrada")-SUMIFS('Movimentações'!$E$2:$E1000,'Movimentações'!$C$2:$C1000,A239,'Movimentações'!$B$2:$B1000,"Saída"))</f>
        <v/>
      </c>
      <c r="F239" s="8" t="str">
        <f t="shared" si="2"/>
        <v/>
      </c>
      <c r="G239" s="8" t="str">
        <f t="shared" si="1"/>
        <v/>
      </c>
    </row>
    <row r="240" ht="15.75" customHeight="1">
      <c r="A240" s="8"/>
      <c r="B240" s="8"/>
      <c r="C240" s="8"/>
      <c r="D240" s="8"/>
      <c r="E240" s="8" t="str">
        <f>IF(A240="","",D240+SUMIFS('Movimentações'!$E$2:$E1000,'Movimentações'!$C$2:$C1000,A240,'Movimentações'!$B$2:$B1000,"Entrada")-SUMIFS('Movimentações'!$E$2:$E1000,'Movimentações'!$C$2:$C1000,A240,'Movimentações'!$B$2:$B1000,"Saída"))</f>
        <v/>
      </c>
      <c r="F240" s="8" t="str">
        <f t="shared" si="2"/>
        <v/>
      </c>
      <c r="G240" s="8" t="str">
        <f t="shared" si="1"/>
        <v/>
      </c>
    </row>
    <row r="241" ht="15.75" customHeight="1">
      <c r="A241" s="8"/>
      <c r="B241" s="8"/>
      <c r="C241" s="8"/>
      <c r="D241" s="8"/>
      <c r="E241" s="8" t="str">
        <f>IF(A241="","",D241+SUMIFS('Movimentações'!$E$2:$E1000,'Movimentações'!$C$2:$C1000,A241,'Movimentações'!$B$2:$B1000,"Entrada")-SUMIFS('Movimentações'!$E$2:$E1000,'Movimentações'!$C$2:$C1000,A241,'Movimentações'!$B$2:$B1000,"Saída"))</f>
        <v/>
      </c>
      <c r="F241" s="8" t="str">
        <f t="shared" si="2"/>
        <v/>
      </c>
      <c r="G241" s="8" t="str">
        <f t="shared" si="1"/>
        <v/>
      </c>
    </row>
    <row r="242" ht="15.75" customHeight="1">
      <c r="A242" s="8"/>
      <c r="B242" s="8"/>
      <c r="C242" s="8"/>
      <c r="D242" s="8"/>
      <c r="E242" s="8" t="str">
        <f>IF(A242="","",D242+SUMIFS('Movimentações'!$E$2:$E1000,'Movimentações'!$C$2:$C1000,A242,'Movimentações'!$B$2:$B1000,"Entrada")-SUMIFS('Movimentações'!$E$2:$E1000,'Movimentações'!$C$2:$C1000,A242,'Movimentações'!$B$2:$B1000,"Saída"))</f>
        <v/>
      </c>
      <c r="F242" s="8" t="str">
        <f t="shared" si="2"/>
        <v/>
      </c>
      <c r="G242" s="8" t="str">
        <f t="shared" si="1"/>
        <v/>
      </c>
    </row>
    <row r="243" ht="15.75" customHeight="1">
      <c r="A243" s="8"/>
      <c r="B243" s="8"/>
      <c r="C243" s="8"/>
      <c r="D243" s="8"/>
      <c r="E243" s="8" t="str">
        <f>IF(A243="","",D243+SUMIFS('Movimentações'!$E$2:$E1000,'Movimentações'!$C$2:$C1000,A243,'Movimentações'!$B$2:$B1000,"Entrada")-SUMIFS('Movimentações'!$E$2:$E1000,'Movimentações'!$C$2:$C1000,A243,'Movimentações'!$B$2:$B1000,"Saída"))</f>
        <v/>
      </c>
      <c r="F243" s="8" t="str">
        <f t="shared" si="2"/>
        <v/>
      </c>
      <c r="G243" s="8" t="str">
        <f t="shared" si="1"/>
        <v/>
      </c>
    </row>
    <row r="244" ht="15.75" customHeight="1">
      <c r="A244" s="8"/>
      <c r="B244" s="8"/>
      <c r="C244" s="8"/>
      <c r="D244" s="8"/>
      <c r="E244" s="8" t="str">
        <f>IF(A244="","",D244+SUMIFS('Movimentações'!$E$2:$E1000,'Movimentações'!$C$2:$C1000,A244,'Movimentações'!$B$2:$B1000,"Entrada")-SUMIFS('Movimentações'!$E$2:$E1000,'Movimentações'!$C$2:$C1000,A244,'Movimentações'!$B$2:$B1000,"Saída"))</f>
        <v/>
      </c>
      <c r="F244" s="8" t="str">
        <f t="shared" si="2"/>
        <v/>
      </c>
      <c r="G244" s="8" t="str">
        <f t="shared" si="1"/>
        <v/>
      </c>
    </row>
    <row r="245" ht="15.75" customHeight="1">
      <c r="A245" s="8"/>
      <c r="B245" s="8"/>
      <c r="C245" s="8"/>
      <c r="D245" s="8"/>
      <c r="E245" s="8" t="str">
        <f>IF(A245="","",D245+SUMIFS('Movimentações'!$E$2:$E1000,'Movimentações'!$C$2:$C1000,A245,'Movimentações'!$B$2:$B1000,"Entrada")-SUMIFS('Movimentações'!$E$2:$E1000,'Movimentações'!$C$2:$C1000,A245,'Movimentações'!$B$2:$B1000,"Saída"))</f>
        <v/>
      </c>
      <c r="F245" s="8" t="str">
        <f t="shared" si="2"/>
        <v/>
      </c>
      <c r="G245" s="8" t="str">
        <f t="shared" si="1"/>
        <v/>
      </c>
    </row>
    <row r="246" ht="15.75" customHeight="1">
      <c r="A246" s="8"/>
      <c r="B246" s="8"/>
      <c r="C246" s="8"/>
      <c r="D246" s="8"/>
      <c r="E246" s="8" t="str">
        <f>IF(A246="","",D246+SUMIFS('Movimentações'!$E$2:$E1000,'Movimentações'!$C$2:$C1000,A246,'Movimentações'!$B$2:$B1000,"Entrada")-SUMIFS('Movimentações'!$E$2:$E1000,'Movimentações'!$C$2:$C1000,A246,'Movimentações'!$B$2:$B1000,"Saída"))</f>
        <v/>
      </c>
      <c r="F246" s="8" t="str">
        <f t="shared" si="2"/>
        <v/>
      </c>
      <c r="G246" s="8" t="str">
        <f t="shared" si="1"/>
        <v/>
      </c>
    </row>
    <row r="247" ht="15.75" customHeight="1">
      <c r="A247" s="8"/>
      <c r="B247" s="8"/>
      <c r="C247" s="8"/>
      <c r="D247" s="8"/>
      <c r="E247" s="8" t="str">
        <f>IF(A247="","",D247+SUMIFS('Movimentações'!$E$2:$E1000,'Movimentações'!$C$2:$C1000,A247,'Movimentações'!$B$2:$B1000,"Entrada")-SUMIFS('Movimentações'!$E$2:$E1000,'Movimentações'!$C$2:$C1000,A247,'Movimentações'!$B$2:$B1000,"Saída"))</f>
        <v/>
      </c>
      <c r="F247" s="8" t="str">
        <f t="shared" si="2"/>
        <v/>
      </c>
      <c r="G247" s="8" t="str">
        <f t="shared" si="1"/>
        <v/>
      </c>
    </row>
    <row r="248" ht="15.75" customHeight="1">
      <c r="A248" s="8"/>
      <c r="B248" s="8"/>
      <c r="C248" s="8"/>
      <c r="D248" s="8"/>
      <c r="E248" s="8" t="str">
        <f>IF(A248="","",D248+SUMIFS('Movimentações'!$E$2:$E1000,'Movimentações'!$C$2:$C1000,A248,'Movimentações'!$B$2:$B1000,"Entrada")-SUMIFS('Movimentações'!$E$2:$E1000,'Movimentações'!$C$2:$C1000,A248,'Movimentações'!$B$2:$B1000,"Saída"))</f>
        <v/>
      </c>
      <c r="F248" s="8" t="str">
        <f t="shared" si="2"/>
        <v/>
      </c>
      <c r="G248" s="8" t="str">
        <f t="shared" si="1"/>
        <v/>
      </c>
    </row>
    <row r="249" ht="15.75" customHeight="1">
      <c r="A249" s="8"/>
      <c r="B249" s="8"/>
      <c r="C249" s="8"/>
      <c r="D249" s="8"/>
      <c r="E249" s="8" t="str">
        <f>IF(A249="","",D249+SUMIFS('Movimentações'!$E$2:$E1000,'Movimentações'!$C$2:$C1000,A249,'Movimentações'!$B$2:$B1000,"Entrada")-SUMIFS('Movimentações'!$E$2:$E1000,'Movimentações'!$C$2:$C1000,A249,'Movimentações'!$B$2:$B1000,"Saída"))</f>
        <v/>
      </c>
      <c r="F249" s="8" t="str">
        <f t="shared" si="2"/>
        <v/>
      </c>
      <c r="G249" s="8" t="str">
        <f t="shared" si="1"/>
        <v/>
      </c>
    </row>
    <row r="250" ht="15.75" customHeight="1">
      <c r="A250" s="8"/>
      <c r="B250" s="8"/>
      <c r="C250" s="8"/>
      <c r="D250" s="8"/>
      <c r="E250" s="8" t="str">
        <f>IF(A250="","",D250+SUMIFS('Movimentações'!$E$2:$E1000,'Movimentações'!$C$2:$C1000,A250,'Movimentações'!$B$2:$B1000,"Entrada")-SUMIFS('Movimentações'!$E$2:$E1000,'Movimentações'!$C$2:$C1000,A250,'Movimentações'!$B$2:$B1000,"Saída"))</f>
        <v/>
      </c>
      <c r="F250" s="8" t="str">
        <f t="shared" si="2"/>
        <v/>
      </c>
      <c r="G250" s="8" t="str">
        <f t="shared" si="1"/>
        <v/>
      </c>
    </row>
    <row r="251" ht="15.75" customHeight="1">
      <c r="A251" s="8"/>
      <c r="B251" s="8"/>
      <c r="C251" s="8"/>
      <c r="D251" s="8"/>
      <c r="E251" s="8" t="str">
        <f>IF(A251="","",D251+SUMIFS('Movimentações'!$E$2:$E1000,'Movimentações'!$C$2:$C1000,A251,'Movimentações'!$B$2:$B1000,"Entrada")-SUMIFS('Movimentações'!$E$2:$E1000,'Movimentações'!$C$2:$C1000,A251,'Movimentações'!$B$2:$B1000,"Saída"))</f>
        <v/>
      </c>
      <c r="F251" s="8" t="str">
        <f t="shared" si="2"/>
        <v/>
      </c>
      <c r="G251" s="8" t="str">
        <f t="shared" si="1"/>
        <v/>
      </c>
    </row>
    <row r="252" ht="15.75" customHeight="1">
      <c r="A252" s="8"/>
      <c r="B252" s="8"/>
      <c r="C252" s="8"/>
      <c r="D252" s="8"/>
      <c r="E252" s="8" t="str">
        <f>IF(A252="","",D252+SUMIFS('Movimentações'!$E$2:$E1000,'Movimentações'!$C$2:$C1000,A252,'Movimentações'!$B$2:$B1000,"Entrada")-SUMIFS('Movimentações'!$E$2:$E1000,'Movimentações'!$C$2:$C1000,A252,'Movimentações'!$B$2:$B1000,"Saída"))</f>
        <v/>
      </c>
      <c r="F252" s="8" t="str">
        <f t="shared" si="2"/>
        <v/>
      </c>
      <c r="G252" s="8" t="str">
        <f t="shared" si="1"/>
        <v/>
      </c>
    </row>
    <row r="253" ht="15.75" customHeight="1">
      <c r="A253" s="8"/>
      <c r="B253" s="8"/>
      <c r="C253" s="8"/>
      <c r="D253" s="8"/>
      <c r="E253" s="8" t="str">
        <f>IF(A253="","",D253+SUMIFS('Movimentações'!$E$2:$E1000,'Movimentações'!$C$2:$C1000,A253,'Movimentações'!$B$2:$B1000,"Entrada")-SUMIFS('Movimentações'!$E$2:$E1000,'Movimentações'!$C$2:$C1000,A253,'Movimentações'!$B$2:$B1000,"Saída"))</f>
        <v/>
      </c>
      <c r="F253" s="8" t="str">
        <f t="shared" si="2"/>
        <v/>
      </c>
      <c r="G253" s="8" t="str">
        <f t="shared" si="1"/>
        <v/>
      </c>
    </row>
    <row r="254" ht="15.75" customHeight="1">
      <c r="A254" s="8"/>
      <c r="B254" s="8"/>
      <c r="C254" s="8"/>
      <c r="D254" s="8"/>
      <c r="E254" s="8" t="str">
        <f>IF(A254="","",D254+SUMIFS('Movimentações'!$E$2:$E1000,'Movimentações'!$C$2:$C1000,A254,'Movimentações'!$B$2:$B1000,"Entrada")-SUMIFS('Movimentações'!$E$2:$E1000,'Movimentações'!$C$2:$C1000,A254,'Movimentações'!$B$2:$B1000,"Saída"))</f>
        <v/>
      </c>
      <c r="F254" s="8" t="str">
        <f t="shared" si="2"/>
        <v/>
      </c>
      <c r="G254" s="8" t="str">
        <f t="shared" si="1"/>
        <v/>
      </c>
    </row>
    <row r="255" ht="15.75" customHeight="1">
      <c r="A255" s="8"/>
      <c r="B255" s="8"/>
      <c r="C255" s="8"/>
      <c r="D255" s="8"/>
      <c r="E255" s="8" t="str">
        <f>IF(A255="","",D255+SUMIFS('Movimentações'!$E$2:$E1000,'Movimentações'!$C$2:$C1000,A255,'Movimentações'!$B$2:$B1000,"Entrada")-SUMIFS('Movimentações'!$E$2:$E1000,'Movimentações'!$C$2:$C1000,A255,'Movimentações'!$B$2:$B1000,"Saída"))</f>
        <v/>
      </c>
      <c r="F255" s="8" t="str">
        <f t="shared" si="2"/>
        <v/>
      </c>
      <c r="G255" s="8" t="str">
        <f t="shared" si="1"/>
        <v/>
      </c>
    </row>
    <row r="256" ht="15.75" customHeight="1">
      <c r="A256" s="8"/>
      <c r="B256" s="8"/>
      <c r="C256" s="8"/>
      <c r="D256" s="8"/>
      <c r="E256" s="8" t="str">
        <f>IF(A256="","",D256+SUMIFS('Movimentações'!$E$2:$E1000,'Movimentações'!$C$2:$C1000,A256,'Movimentações'!$B$2:$B1000,"Entrada")-SUMIFS('Movimentações'!$E$2:$E1000,'Movimentações'!$C$2:$C1000,A256,'Movimentações'!$B$2:$B1000,"Saída"))</f>
        <v/>
      </c>
      <c r="F256" s="8" t="str">
        <f t="shared" si="2"/>
        <v/>
      </c>
      <c r="G256" s="8" t="str">
        <f t="shared" si="1"/>
        <v/>
      </c>
    </row>
    <row r="257" ht="15.75" customHeight="1">
      <c r="A257" s="8"/>
      <c r="B257" s="8"/>
      <c r="C257" s="8"/>
      <c r="D257" s="8"/>
      <c r="E257" s="8" t="str">
        <f>IF(A257="","",D257+SUMIFS('Movimentações'!$E$2:$E1000,'Movimentações'!$C$2:$C1000,A257,'Movimentações'!$B$2:$B1000,"Entrada")-SUMIFS('Movimentações'!$E$2:$E1000,'Movimentações'!$C$2:$C1000,A257,'Movimentações'!$B$2:$B1000,"Saída"))</f>
        <v/>
      </c>
      <c r="F257" s="8" t="str">
        <f t="shared" si="2"/>
        <v/>
      </c>
      <c r="G257" s="8" t="str">
        <f t="shared" si="1"/>
        <v/>
      </c>
    </row>
    <row r="258" ht="15.75" customHeight="1">
      <c r="A258" s="8"/>
      <c r="B258" s="8"/>
      <c r="C258" s="8"/>
      <c r="D258" s="8"/>
      <c r="E258" s="8" t="str">
        <f>IF(A258="","",D258+SUMIFS('Movimentações'!$E$2:$E1000,'Movimentações'!$C$2:$C1000,A258,'Movimentações'!$B$2:$B1000,"Entrada")-SUMIFS('Movimentações'!$E$2:$E1000,'Movimentações'!$C$2:$C1000,A258,'Movimentações'!$B$2:$B1000,"Saída"))</f>
        <v/>
      </c>
      <c r="F258" s="8" t="str">
        <f t="shared" si="2"/>
        <v/>
      </c>
      <c r="G258" s="8" t="str">
        <f t="shared" si="1"/>
        <v/>
      </c>
    </row>
    <row r="259" ht="15.75" customHeight="1">
      <c r="A259" s="8"/>
      <c r="B259" s="8"/>
      <c r="C259" s="8"/>
      <c r="D259" s="8"/>
      <c r="E259" s="8" t="str">
        <f>IF(A259="","",D259+SUMIFS('Movimentações'!$E$2:$E1000,'Movimentações'!$C$2:$C1000,A259,'Movimentações'!$B$2:$B1000,"Entrada")-SUMIFS('Movimentações'!$E$2:$E1000,'Movimentações'!$C$2:$C1000,A259,'Movimentações'!$B$2:$B1000,"Saída"))</f>
        <v/>
      </c>
      <c r="F259" s="8" t="str">
        <f t="shared" si="2"/>
        <v/>
      </c>
      <c r="G259" s="8" t="str">
        <f t="shared" si="1"/>
        <v/>
      </c>
    </row>
    <row r="260" ht="15.75" customHeight="1">
      <c r="A260" s="8"/>
      <c r="B260" s="8"/>
      <c r="C260" s="8"/>
      <c r="D260" s="8"/>
      <c r="E260" s="8" t="str">
        <f>IF(A260="","",D260+SUMIFS('Movimentações'!$E$2:$E1000,'Movimentações'!$C$2:$C1000,A260,'Movimentações'!$B$2:$B1000,"Entrada")-SUMIFS('Movimentações'!$E$2:$E1000,'Movimentações'!$C$2:$C1000,A260,'Movimentações'!$B$2:$B1000,"Saída"))</f>
        <v/>
      </c>
      <c r="F260" s="8" t="str">
        <f t="shared" si="2"/>
        <v/>
      </c>
      <c r="G260" s="8" t="str">
        <f t="shared" si="1"/>
        <v/>
      </c>
    </row>
    <row r="261" ht="15.75" customHeight="1">
      <c r="A261" s="8"/>
      <c r="B261" s="8"/>
      <c r="C261" s="8"/>
      <c r="D261" s="8"/>
      <c r="E261" s="8" t="str">
        <f>IF(A261="","",D261+SUMIFS('Movimentações'!$E$2:$E1000,'Movimentações'!$C$2:$C1000,A261,'Movimentações'!$B$2:$B1000,"Entrada")-SUMIFS('Movimentações'!$E$2:$E1000,'Movimentações'!$C$2:$C1000,A261,'Movimentações'!$B$2:$B1000,"Saída"))</f>
        <v/>
      </c>
      <c r="F261" s="8" t="str">
        <f t="shared" si="2"/>
        <v/>
      </c>
      <c r="G261" s="8" t="str">
        <f t="shared" si="1"/>
        <v/>
      </c>
    </row>
    <row r="262" ht="15.75" customHeight="1">
      <c r="A262" s="8"/>
      <c r="B262" s="8"/>
      <c r="C262" s="8"/>
      <c r="D262" s="8"/>
      <c r="E262" s="8" t="str">
        <f>IF(A262="","",D262+SUMIFS('Movimentações'!$E$2:$E1000,'Movimentações'!$C$2:$C1000,A262,'Movimentações'!$B$2:$B1000,"Entrada")-SUMIFS('Movimentações'!$E$2:$E1000,'Movimentações'!$C$2:$C1000,A262,'Movimentações'!$B$2:$B1000,"Saída"))</f>
        <v/>
      </c>
      <c r="F262" s="8" t="str">
        <f t="shared" si="2"/>
        <v/>
      </c>
      <c r="G262" s="8" t="str">
        <f t="shared" si="1"/>
        <v/>
      </c>
    </row>
    <row r="263" ht="15.75" customHeight="1">
      <c r="A263" s="8"/>
      <c r="B263" s="8"/>
      <c r="C263" s="8"/>
      <c r="D263" s="8"/>
      <c r="E263" s="8" t="str">
        <f>IF(A263="","",D263+SUMIFS('Movimentações'!$E$2:$E1000,'Movimentações'!$C$2:$C1000,A263,'Movimentações'!$B$2:$B1000,"Entrada")-SUMIFS('Movimentações'!$E$2:$E1000,'Movimentações'!$C$2:$C1000,A263,'Movimentações'!$B$2:$B1000,"Saída"))</f>
        <v/>
      </c>
      <c r="F263" s="8" t="str">
        <f t="shared" si="2"/>
        <v/>
      </c>
      <c r="G263" s="8" t="str">
        <f t="shared" si="1"/>
        <v/>
      </c>
    </row>
    <row r="264" ht="15.75" customHeight="1">
      <c r="A264" s="8"/>
      <c r="B264" s="8"/>
      <c r="C264" s="8"/>
      <c r="D264" s="8"/>
      <c r="E264" s="8" t="str">
        <f>IF(A264="","",D264+SUMIFS('Movimentações'!$E$2:$E1000,'Movimentações'!$C$2:$C1000,A264,'Movimentações'!$B$2:$B1000,"Entrada")-SUMIFS('Movimentações'!$E$2:$E1000,'Movimentações'!$C$2:$C1000,A264,'Movimentações'!$B$2:$B1000,"Saída"))</f>
        <v/>
      </c>
      <c r="F264" s="8" t="str">
        <f t="shared" si="2"/>
        <v/>
      </c>
      <c r="G264" s="8" t="str">
        <f t="shared" si="1"/>
        <v/>
      </c>
    </row>
    <row r="265" ht="15.75" customHeight="1">
      <c r="A265" s="8"/>
      <c r="B265" s="8"/>
      <c r="C265" s="8"/>
      <c r="D265" s="8"/>
      <c r="E265" s="8" t="str">
        <f>IF(A265="","",D265+SUMIFS('Movimentações'!$E$2:$E1000,'Movimentações'!$C$2:$C1000,A265,'Movimentações'!$B$2:$B1000,"Entrada")-SUMIFS('Movimentações'!$E$2:$E1000,'Movimentações'!$C$2:$C1000,A265,'Movimentações'!$B$2:$B1000,"Saída"))</f>
        <v/>
      </c>
      <c r="F265" s="8" t="str">
        <f t="shared" si="2"/>
        <v/>
      </c>
      <c r="G265" s="8" t="str">
        <f t="shared" si="1"/>
        <v/>
      </c>
    </row>
    <row r="266" ht="15.75" customHeight="1">
      <c r="A266" s="8"/>
      <c r="B266" s="8"/>
      <c r="C266" s="8"/>
      <c r="D266" s="8"/>
      <c r="E266" s="8" t="str">
        <f>IF(A266="","",D266+SUMIFS('Movimentações'!$E$2:$E1000,'Movimentações'!$C$2:$C1000,A266,'Movimentações'!$B$2:$B1000,"Entrada")-SUMIFS('Movimentações'!$E$2:$E1000,'Movimentações'!$C$2:$C1000,A266,'Movimentações'!$B$2:$B1000,"Saída"))</f>
        <v/>
      </c>
      <c r="F266" s="8" t="str">
        <f t="shared" si="2"/>
        <v/>
      </c>
      <c r="G266" s="8" t="str">
        <f t="shared" si="1"/>
        <v/>
      </c>
    </row>
    <row r="267" ht="15.75" customHeight="1">
      <c r="A267" s="8"/>
      <c r="B267" s="8"/>
      <c r="C267" s="8"/>
      <c r="D267" s="8"/>
      <c r="E267" s="8" t="str">
        <f>IF(A267="","",D267+SUMIFS('Movimentações'!$E$2:$E1000,'Movimentações'!$C$2:$C1000,A267,'Movimentações'!$B$2:$B1000,"Entrada")-SUMIFS('Movimentações'!$E$2:$E1000,'Movimentações'!$C$2:$C1000,A267,'Movimentações'!$B$2:$B1000,"Saída"))</f>
        <v/>
      </c>
      <c r="F267" s="8" t="str">
        <f t="shared" si="2"/>
        <v/>
      </c>
      <c r="G267" s="8" t="str">
        <f t="shared" si="1"/>
        <v/>
      </c>
    </row>
    <row r="268" ht="15.75" customHeight="1">
      <c r="A268" s="8"/>
      <c r="B268" s="8"/>
      <c r="C268" s="8"/>
      <c r="D268" s="8"/>
      <c r="E268" s="8" t="str">
        <f>IF(A268="","",D268+SUMIFS('Movimentações'!$E$2:$E1000,'Movimentações'!$C$2:$C1000,A268,'Movimentações'!$B$2:$B1000,"Entrada")-SUMIFS('Movimentações'!$E$2:$E1000,'Movimentações'!$C$2:$C1000,A268,'Movimentações'!$B$2:$B1000,"Saída"))</f>
        <v/>
      </c>
      <c r="F268" s="8" t="str">
        <f t="shared" si="2"/>
        <v/>
      </c>
      <c r="G268" s="8" t="str">
        <f t="shared" si="1"/>
        <v/>
      </c>
    </row>
    <row r="269" ht="15.75" customHeight="1">
      <c r="A269" s="8"/>
      <c r="B269" s="8"/>
      <c r="C269" s="8"/>
      <c r="D269" s="8"/>
      <c r="E269" s="8" t="str">
        <f>IF(A269="","",D269+SUMIFS('Movimentações'!$E$2:$E1000,'Movimentações'!$C$2:$C1000,A269,'Movimentações'!$B$2:$B1000,"Entrada")-SUMIFS('Movimentações'!$E$2:$E1000,'Movimentações'!$C$2:$C1000,A269,'Movimentações'!$B$2:$B1000,"Saída"))</f>
        <v/>
      </c>
      <c r="F269" s="8" t="str">
        <f t="shared" si="2"/>
        <v/>
      </c>
      <c r="G269" s="8" t="str">
        <f t="shared" si="1"/>
        <v/>
      </c>
    </row>
    <row r="270" ht="15.75" customHeight="1">
      <c r="A270" s="8"/>
      <c r="B270" s="8"/>
      <c r="C270" s="8"/>
      <c r="D270" s="8"/>
      <c r="E270" s="8" t="str">
        <f>IF(A270="","",D270+SUMIFS('Movimentações'!$E$2:$E1000,'Movimentações'!$C$2:$C1000,A270,'Movimentações'!$B$2:$B1000,"Entrada")-SUMIFS('Movimentações'!$E$2:$E1000,'Movimentações'!$C$2:$C1000,A270,'Movimentações'!$B$2:$B1000,"Saída"))</f>
        <v/>
      </c>
      <c r="F270" s="8" t="str">
        <f t="shared" si="2"/>
        <v/>
      </c>
      <c r="G270" s="8" t="str">
        <f t="shared" si="1"/>
        <v/>
      </c>
    </row>
    <row r="271" ht="15.75" customHeight="1">
      <c r="A271" s="8"/>
      <c r="B271" s="8"/>
      <c r="C271" s="8"/>
      <c r="D271" s="8"/>
      <c r="E271" s="8" t="str">
        <f>IF(A271="","",D271+SUMIFS('Movimentações'!$E$2:$E1000,'Movimentações'!$C$2:$C1000,A271,'Movimentações'!$B$2:$B1000,"Entrada")-SUMIFS('Movimentações'!$E$2:$E1000,'Movimentações'!$C$2:$C1000,A271,'Movimentações'!$B$2:$B1000,"Saída"))</f>
        <v/>
      </c>
      <c r="F271" s="8" t="str">
        <f t="shared" si="2"/>
        <v/>
      </c>
      <c r="G271" s="8" t="str">
        <f t="shared" si="1"/>
        <v/>
      </c>
    </row>
    <row r="272" ht="15.75" customHeight="1">
      <c r="A272" s="8"/>
      <c r="B272" s="8"/>
      <c r="C272" s="8"/>
      <c r="D272" s="8"/>
      <c r="E272" s="8" t="str">
        <f>IF(A272="","",D272+SUMIFS('Movimentações'!$E$2:$E1000,'Movimentações'!$C$2:$C1000,A272,'Movimentações'!$B$2:$B1000,"Entrada")-SUMIFS('Movimentações'!$E$2:$E1000,'Movimentações'!$C$2:$C1000,A272,'Movimentações'!$B$2:$B1000,"Saída"))</f>
        <v/>
      </c>
      <c r="F272" s="8" t="str">
        <f t="shared" si="2"/>
        <v/>
      </c>
      <c r="G272" s="8" t="str">
        <f t="shared" si="1"/>
        <v/>
      </c>
    </row>
    <row r="273" ht="15.75" customHeight="1">
      <c r="A273" s="8"/>
      <c r="B273" s="8"/>
      <c r="C273" s="8"/>
      <c r="D273" s="8"/>
      <c r="E273" s="8" t="str">
        <f>IF(A273="","",D273+SUMIFS('Movimentações'!$E$2:$E1000,'Movimentações'!$C$2:$C1000,A273,'Movimentações'!$B$2:$B1000,"Entrada")-SUMIFS('Movimentações'!$E$2:$E1000,'Movimentações'!$C$2:$C1000,A273,'Movimentações'!$B$2:$B1000,"Saída"))</f>
        <v/>
      </c>
      <c r="F273" s="8" t="str">
        <f t="shared" si="2"/>
        <v/>
      </c>
      <c r="G273" s="8" t="str">
        <f t="shared" si="1"/>
        <v/>
      </c>
    </row>
    <row r="274" ht="15.75" customHeight="1">
      <c r="A274" s="8"/>
      <c r="B274" s="8"/>
      <c r="C274" s="8"/>
      <c r="D274" s="8"/>
      <c r="E274" s="8" t="str">
        <f>IF(A274="","",D274+SUMIFS('Movimentações'!$E$2:$E1000,'Movimentações'!$C$2:$C1000,A274,'Movimentações'!$B$2:$B1000,"Entrada")-SUMIFS('Movimentações'!$E$2:$E1000,'Movimentações'!$C$2:$C1000,A274,'Movimentações'!$B$2:$B1000,"Saída"))</f>
        <v/>
      </c>
      <c r="F274" s="8" t="str">
        <f t="shared" si="2"/>
        <v/>
      </c>
      <c r="G274" s="8" t="str">
        <f t="shared" si="1"/>
        <v/>
      </c>
    </row>
    <row r="275" ht="15.75" customHeight="1">
      <c r="A275" s="8"/>
      <c r="B275" s="8"/>
      <c r="C275" s="8"/>
      <c r="D275" s="8"/>
      <c r="E275" s="8" t="str">
        <f>IF(A275="","",D275+SUMIFS('Movimentações'!$E$2:$E1000,'Movimentações'!$C$2:$C1000,A275,'Movimentações'!$B$2:$B1000,"Entrada")-SUMIFS('Movimentações'!$E$2:$E1000,'Movimentações'!$C$2:$C1000,A275,'Movimentações'!$B$2:$B1000,"Saída"))</f>
        <v/>
      </c>
      <c r="F275" s="8" t="str">
        <f t="shared" si="2"/>
        <v/>
      </c>
      <c r="G275" s="8" t="str">
        <f t="shared" si="1"/>
        <v/>
      </c>
    </row>
    <row r="276" ht="15.75" customHeight="1">
      <c r="A276" s="8"/>
      <c r="B276" s="8"/>
      <c r="C276" s="8"/>
      <c r="D276" s="8"/>
      <c r="E276" s="8" t="str">
        <f>IF(A276="","",D276+SUMIFS('Movimentações'!$E$2:$E1000,'Movimentações'!$C$2:$C1000,A276,'Movimentações'!$B$2:$B1000,"Entrada")-SUMIFS('Movimentações'!$E$2:$E1000,'Movimentações'!$C$2:$C1000,A276,'Movimentações'!$B$2:$B1000,"Saída"))</f>
        <v/>
      </c>
      <c r="F276" s="8" t="str">
        <f t="shared" si="2"/>
        <v/>
      </c>
      <c r="G276" s="8" t="str">
        <f t="shared" si="1"/>
        <v/>
      </c>
    </row>
    <row r="277" ht="15.75" customHeight="1">
      <c r="A277" s="8"/>
      <c r="B277" s="8"/>
      <c r="C277" s="8"/>
      <c r="D277" s="8"/>
      <c r="E277" s="8" t="str">
        <f>IF(A277="","",D277+SUMIFS('Movimentações'!$E$2:$E1000,'Movimentações'!$C$2:$C1000,A277,'Movimentações'!$B$2:$B1000,"Entrada")-SUMIFS('Movimentações'!$E$2:$E1000,'Movimentações'!$C$2:$C1000,A277,'Movimentações'!$B$2:$B1000,"Saída"))</f>
        <v/>
      </c>
      <c r="F277" s="8" t="str">
        <f t="shared" si="2"/>
        <v/>
      </c>
      <c r="G277" s="8" t="str">
        <f t="shared" si="1"/>
        <v/>
      </c>
    </row>
    <row r="278" ht="15.75" customHeight="1">
      <c r="A278" s="8"/>
      <c r="B278" s="8"/>
      <c r="C278" s="8"/>
      <c r="D278" s="8"/>
      <c r="E278" s="8" t="str">
        <f>IF(A278="","",D278+SUMIFS('Movimentações'!$E$2:$E1000,'Movimentações'!$C$2:$C1000,A278,'Movimentações'!$B$2:$B1000,"Entrada")-SUMIFS('Movimentações'!$E$2:$E1000,'Movimentações'!$C$2:$C1000,A278,'Movimentações'!$B$2:$B1000,"Saída"))</f>
        <v/>
      </c>
      <c r="F278" s="8" t="str">
        <f t="shared" si="2"/>
        <v/>
      </c>
      <c r="G278" s="8" t="str">
        <f t="shared" si="1"/>
        <v/>
      </c>
    </row>
    <row r="279" ht="15.75" customHeight="1">
      <c r="A279" s="8"/>
      <c r="B279" s="8"/>
      <c r="C279" s="8"/>
      <c r="D279" s="8"/>
      <c r="E279" s="8" t="str">
        <f>IF(A279="","",D279+SUMIFS('Movimentações'!$E$2:$E1000,'Movimentações'!$C$2:$C1000,A279,'Movimentações'!$B$2:$B1000,"Entrada")-SUMIFS('Movimentações'!$E$2:$E1000,'Movimentações'!$C$2:$C1000,A279,'Movimentações'!$B$2:$B1000,"Saída"))</f>
        <v/>
      </c>
      <c r="F279" s="8" t="str">
        <f t="shared" si="2"/>
        <v/>
      </c>
      <c r="G279" s="8" t="str">
        <f t="shared" si="1"/>
        <v/>
      </c>
    </row>
    <row r="280" ht="15.75" customHeight="1">
      <c r="A280" s="8"/>
      <c r="B280" s="8"/>
      <c r="C280" s="8"/>
      <c r="D280" s="8"/>
      <c r="E280" s="8" t="str">
        <f>IF(A280="","",D280+SUMIFS('Movimentações'!$E$2:$E1000,'Movimentações'!$C$2:$C1000,A280,'Movimentações'!$B$2:$B1000,"Entrada")-SUMIFS('Movimentações'!$E$2:$E1000,'Movimentações'!$C$2:$C1000,A280,'Movimentações'!$B$2:$B1000,"Saída"))</f>
        <v/>
      </c>
      <c r="F280" s="8" t="str">
        <f t="shared" si="2"/>
        <v/>
      </c>
      <c r="G280" s="8" t="str">
        <f t="shared" si="1"/>
        <v/>
      </c>
    </row>
    <row r="281" ht="15.75" customHeight="1">
      <c r="A281" s="8"/>
      <c r="B281" s="8"/>
      <c r="C281" s="8"/>
      <c r="D281" s="8"/>
      <c r="E281" s="8" t="str">
        <f>IF(A281="","",D281+SUMIFS('Movimentações'!$E$2:$E1000,'Movimentações'!$C$2:$C1000,A281,'Movimentações'!$B$2:$B1000,"Entrada")-SUMIFS('Movimentações'!$E$2:$E1000,'Movimentações'!$C$2:$C1000,A281,'Movimentações'!$B$2:$B1000,"Saída"))</f>
        <v/>
      </c>
      <c r="F281" s="8" t="str">
        <f t="shared" si="2"/>
        <v/>
      </c>
      <c r="G281" s="8" t="str">
        <f t="shared" si="1"/>
        <v/>
      </c>
    </row>
    <row r="282" ht="15.75" customHeight="1">
      <c r="A282" s="8"/>
      <c r="B282" s="8"/>
      <c r="C282" s="8"/>
      <c r="D282" s="8"/>
      <c r="E282" s="8" t="str">
        <f>IF(A282="","",D282+SUMIFS('Movimentações'!$E$2:$E1000,'Movimentações'!$C$2:$C1000,A282,'Movimentações'!$B$2:$B1000,"Entrada")-SUMIFS('Movimentações'!$E$2:$E1000,'Movimentações'!$C$2:$C1000,A282,'Movimentações'!$B$2:$B1000,"Saída"))</f>
        <v/>
      </c>
      <c r="F282" s="8" t="str">
        <f t="shared" si="2"/>
        <v/>
      </c>
      <c r="G282" s="8" t="str">
        <f t="shared" si="1"/>
        <v/>
      </c>
    </row>
    <row r="283" ht="15.75" customHeight="1">
      <c r="A283" s="8"/>
      <c r="B283" s="8"/>
      <c r="C283" s="8"/>
      <c r="D283" s="8"/>
      <c r="E283" s="8" t="str">
        <f>IF(A283="","",D283+SUMIFS('Movimentações'!$E$2:$E1000,'Movimentações'!$C$2:$C1000,A283,'Movimentações'!$B$2:$B1000,"Entrada")-SUMIFS('Movimentações'!$E$2:$E1000,'Movimentações'!$C$2:$C1000,A283,'Movimentações'!$B$2:$B1000,"Saída"))</f>
        <v/>
      </c>
      <c r="F283" s="8" t="str">
        <f t="shared" si="2"/>
        <v/>
      </c>
      <c r="G283" s="8" t="str">
        <f t="shared" si="1"/>
        <v/>
      </c>
    </row>
    <row r="284" ht="15.75" customHeight="1">
      <c r="A284" s="8"/>
      <c r="B284" s="8"/>
      <c r="C284" s="8"/>
      <c r="D284" s="8"/>
      <c r="E284" s="8" t="str">
        <f>IF(A284="","",D284+SUMIFS('Movimentações'!$E$2:$E1000,'Movimentações'!$C$2:$C1000,A284,'Movimentações'!$B$2:$B1000,"Entrada")-SUMIFS('Movimentações'!$E$2:$E1000,'Movimentações'!$C$2:$C1000,A284,'Movimentações'!$B$2:$B1000,"Saída"))</f>
        <v/>
      </c>
      <c r="F284" s="8" t="str">
        <f t="shared" si="2"/>
        <v/>
      </c>
      <c r="G284" s="8" t="str">
        <f t="shared" si="1"/>
        <v/>
      </c>
    </row>
    <row r="285" ht="15.75" customHeight="1">
      <c r="A285" s="8"/>
      <c r="B285" s="8"/>
      <c r="C285" s="8"/>
      <c r="D285" s="8"/>
      <c r="E285" s="8" t="str">
        <f>IF(A285="","",D285+SUMIFS('Movimentações'!$E$2:$E1000,'Movimentações'!$C$2:$C1000,A285,'Movimentações'!$B$2:$B1000,"Entrada")-SUMIFS('Movimentações'!$E$2:$E1000,'Movimentações'!$C$2:$C1000,A285,'Movimentações'!$B$2:$B1000,"Saída"))</f>
        <v/>
      </c>
      <c r="F285" s="8" t="str">
        <f t="shared" si="2"/>
        <v/>
      </c>
      <c r="G285" s="8" t="str">
        <f t="shared" si="1"/>
        <v/>
      </c>
    </row>
    <row r="286" ht="15.75" customHeight="1">
      <c r="A286" s="8"/>
      <c r="B286" s="8"/>
      <c r="C286" s="8"/>
      <c r="D286" s="8"/>
      <c r="E286" s="8" t="str">
        <f>IF(A286="","",D286+SUMIFS('Movimentações'!$E$2:$E1000,'Movimentações'!$C$2:$C1000,A286,'Movimentações'!$B$2:$B1000,"Entrada")-SUMIFS('Movimentações'!$E$2:$E1000,'Movimentações'!$C$2:$C1000,A286,'Movimentações'!$B$2:$B1000,"Saída"))</f>
        <v/>
      </c>
      <c r="F286" s="8" t="str">
        <f t="shared" si="2"/>
        <v/>
      </c>
      <c r="G286" s="8" t="str">
        <f t="shared" si="1"/>
        <v/>
      </c>
    </row>
    <row r="287" ht="15.75" customHeight="1">
      <c r="A287" s="8"/>
      <c r="B287" s="8"/>
      <c r="C287" s="8"/>
      <c r="D287" s="8"/>
      <c r="E287" s="8" t="str">
        <f>IF(A287="","",D287+SUMIFS('Movimentações'!$E$2:$E1000,'Movimentações'!$C$2:$C1000,A287,'Movimentações'!$B$2:$B1000,"Entrada")-SUMIFS('Movimentações'!$E$2:$E1000,'Movimentações'!$C$2:$C1000,A287,'Movimentações'!$B$2:$B1000,"Saída"))</f>
        <v/>
      </c>
      <c r="F287" s="8" t="str">
        <f t="shared" si="2"/>
        <v/>
      </c>
      <c r="G287" s="8" t="str">
        <f t="shared" si="1"/>
        <v/>
      </c>
    </row>
    <row r="288" ht="15.75" customHeight="1">
      <c r="A288" s="8"/>
      <c r="B288" s="8"/>
      <c r="C288" s="8"/>
      <c r="D288" s="8"/>
      <c r="E288" s="8" t="str">
        <f>IF(A288="","",D288+SUMIFS('Movimentações'!$E$2:$E1000,'Movimentações'!$C$2:$C1000,A288,'Movimentações'!$B$2:$B1000,"Entrada")-SUMIFS('Movimentações'!$E$2:$E1000,'Movimentações'!$C$2:$C1000,A288,'Movimentações'!$B$2:$B1000,"Saída"))</f>
        <v/>
      </c>
      <c r="F288" s="8" t="str">
        <f t="shared" si="2"/>
        <v/>
      </c>
      <c r="G288" s="8" t="str">
        <f t="shared" si="1"/>
        <v/>
      </c>
    </row>
    <row r="289" ht="15.75" customHeight="1">
      <c r="A289" s="8"/>
      <c r="B289" s="8"/>
      <c r="C289" s="8"/>
      <c r="D289" s="8"/>
      <c r="E289" s="8" t="str">
        <f>IF(A289="","",D289+SUMIFS('Movimentações'!$E$2:$E1000,'Movimentações'!$C$2:$C1000,A289,'Movimentações'!$B$2:$B1000,"Entrada")-SUMIFS('Movimentações'!$E$2:$E1000,'Movimentações'!$C$2:$C1000,A289,'Movimentações'!$B$2:$B1000,"Saída"))</f>
        <v/>
      </c>
      <c r="F289" s="8" t="str">
        <f t="shared" si="2"/>
        <v/>
      </c>
      <c r="G289" s="8" t="str">
        <f t="shared" si="1"/>
        <v/>
      </c>
    </row>
    <row r="290" ht="15.75" customHeight="1">
      <c r="A290" s="8"/>
      <c r="B290" s="8"/>
      <c r="C290" s="8"/>
      <c r="D290" s="8"/>
      <c r="E290" s="8" t="str">
        <f>IF(A290="","",D290+SUMIFS('Movimentações'!$E$2:$E1000,'Movimentações'!$C$2:$C1000,A290,'Movimentações'!$B$2:$B1000,"Entrada")-SUMIFS('Movimentações'!$E$2:$E1000,'Movimentações'!$C$2:$C1000,A290,'Movimentações'!$B$2:$B1000,"Saída"))</f>
        <v/>
      </c>
      <c r="F290" s="8" t="str">
        <f t="shared" si="2"/>
        <v/>
      </c>
      <c r="G290" s="8" t="str">
        <f t="shared" si="1"/>
        <v/>
      </c>
    </row>
    <row r="291" ht="15.75" customHeight="1">
      <c r="A291" s="8"/>
      <c r="B291" s="8"/>
      <c r="C291" s="8"/>
      <c r="D291" s="8"/>
      <c r="E291" s="8" t="str">
        <f>IF(A291="","",D291+SUMIFS('Movimentações'!$E$2:$E1000,'Movimentações'!$C$2:$C1000,A291,'Movimentações'!$B$2:$B1000,"Entrada")-SUMIFS('Movimentações'!$E$2:$E1000,'Movimentações'!$C$2:$C1000,A291,'Movimentações'!$B$2:$B1000,"Saída"))</f>
        <v/>
      </c>
      <c r="F291" s="8" t="str">
        <f t="shared" si="2"/>
        <v/>
      </c>
      <c r="G291" s="8" t="str">
        <f t="shared" si="1"/>
        <v/>
      </c>
    </row>
    <row r="292" ht="15.75" customHeight="1">
      <c r="A292" s="8"/>
      <c r="B292" s="8"/>
      <c r="C292" s="8"/>
      <c r="D292" s="8"/>
      <c r="E292" s="8" t="str">
        <f>IF(A292="","",D292+SUMIFS('Movimentações'!$E$2:$E1000,'Movimentações'!$C$2:$C1000,A292,'Movimentações'!$B$2:$B1000,"Entrada")-SUMIFS('Movimentações'!$E$2:$E1000,'Movimentações'!$C$2:$C1000,A292,'Movimentações'!$B$2:$B1000,"Saída"))</f>
        <v/>
      </c>
      <c r="F292" s="8" t="str">
        <f t="shared" si="2"/>
        <v/>
      </c>
      <c r="G292" s="8" t="str">
        <f t="shared" si="1"/>
        <v/>
      </c>
    </row>
    <row r="293" ht="15.75" customHeight="1">
      <c r="A293" s="8"/>
      <c r="B293" s="8"/>
      <c r="C293" s="8"/>
      <c r="D293" s="8"/>
      <c r="E293" s="8" t="str">
        <f>IF(A293="","",D293+SUMIFS('Movimentações'!$E$2:$E1000,'Movimentações'!$C$2:$C1000,A293,'Movimentações'!$B$2:$B1000,"Entrada")-SUMIFS('Movimentações'!$E$2:$E1000,'Movimentações'!$C$2:$C1000,A293,'Movimentações'!$B$2:$B1000,"Saída"))</f>
        <v/>
      </c>
      <c r="F293" s="8" t="str">
        <f t="shared" si="2"/>
        <v/>
      </c>
      <c r="G293" s="8" t="str">
        <f t="shared" si="1"/>
        <v/>
      </c>
    </row>
    <row r="294" ht="15.75" customHeight="1">
      <c r="A294" s="8"/>
      <c r="B294" s="8"/>
      <c r="C294" s="8"/>
      <c r="D294" s="8"/>
      <c r="E294" s="8" t="str">
        <f>IF(A294="","",D294+SUMIFS('Movimentações'!$E$2:$E1000,'Movimentações'!$C$2:$C1000,A294,'Movimentações'!$B$2:$B1000,"Entrada")-SUMIFS('Movimentações'!$E$2:$E1000,'Movimentações'!$C$2:$C1000,A294,'Movimentações'!$B$2:$B1000,"Saída"))</f>
        <v/>
      </c>
      <c r="F294" s="8" t="str">
        <f t="shared" si="2"/>
        <v/>
      </c>
      <c r="G294" s="8" t="str">
        <f t="shared" si="1"/>
        <v/>
      </c>
    </row>
    <row r="295" ht="15.75" customHeight="1">
      <c r="A295" s="8"/>
      <c r="B295" s="8"/>
      <c r="C295" s="8"/>
      <c r="D295" s="8"/>
      <c r="E295" s="8" t="str">
        <f>IF(A295="","",D295+SUMIFS('Movimentações'!$E$2:$E1000,'Movimentações'!$C$2:$C1000,A295,'Movimentações'!$B$2:$B1000,"Entrada")-SUMIFS('Movimentações'!$E$2:$E1000,'Movimentações'!$C$2:$C1000,A295,'Movimentações'!$B$2:$B1000,"Saída"))</f>
        <v/>
      </c>
      <c r="F295" s="8" t="str">
        <f t="shared" si="2"/>
        <v/>
      </c>
      <c r="G295" s="8" t="str">
        <f t="shared" si="1"/>
        <v/>
      </c>
    </row>
    <row r="296" ht="15.75" customHeight="1">
      <c r="A296" s="8"/>
      <c r="B296" s="8"/>
      <c r="C296" s="8"/>
      <c r="D296" s="8"/>
      <c r="E296" s="8" t="str">
        <f>IF(A296="","",D296+SUMIFS('Movimentações'!$E$2:$E1000,'Movimentações'!$C$2:$C1000,A296,'Movimentações'!$B$2:$B1000,"Entrada")-SUMIFS('Movimentações'!$E$2:$E1000,'Movimentações'!$C$2:$C1000,A296,'Movimentações'!$B$2:$B1000,"Saída"))</f>
        <v/>
      </c>
      <c r="F296" s="8" t="str">
        <f t="shared" si="2"/>
        <v/>
      </c>
      <c r="G296" s="8" t="str">
        <f t="shared" si="1"/>
        <v/>
      </c>
    </row>
    <row r="297" ht="15.75" customHeight="1">
      <c r="A297" s="8"/>
      <c r="B297" s="8"/>
      <c r="C297" s="8"/>
      <c r="D297" s="8"/>
      <c r="E297" s="8" t="str">
        <f>IF(A297="","",D297+SUMIFS('Movimentações'!$E$2:$E1000,'Movimentações'!$C$2:$C1000,A297,'Movimentações'!$B$2:$B1000,"Entrada")-SUMIFS('Movimentações'!$E$2:$E1000,'Movimentações'!$C$2:$C1000,A297,'Movimentações'!$B$2:$B1000,"Saída"))</f>
        <v/>
      </c>
      <c r="F297" s="8" t="str">
        <f t="shared" si="2"/>
        <v/>
      </c>
      <c r="G297" s="8" t="str">
        <f t="shared" si="1"/>
        <v/>
      </c>
    </row>
    <row r="298" ht="15.75" customHeight="1">
      <c r="A298" s="8"/>
      <c r="B298" s="8"/>
      <c r="C298" s="8"/>
      <c r="D298" s="8"/>
      <c r="E298" s="8" t="str">
        <f>IF(A298="","",D298+SUMIFS('Movimentações'!$E$2:$E1000,'Movimentações'!$C$2:$C1000,A298,'Movimentações'!$B$2:$B1000,"Entrada")-SUMIFS('Movimentações'!$E$2:$E1000,'Movimentações'!$C$2:$C1000,A298,'Movimentações'!$B$2:$B1000,"Saída"))</f>
        <v/>
      </c>
      <c r="F298" s="8" t="str">
        <f t="shared" si="2"/>
        <v/>
      </c>
      <c r="G298" s="8" t="str">
        <f t="shared" si="1"/>
        <v/>
      </c>
    </row>
    <row r="299" ht="15.75" customHeight="1">
      <c r="A299" s="8"/>
      <c r="B299" s="8"/>
      <c r="C299" s="8"/>
      <c r="D299" s="8"/>
      <c r="E299" s="8" t="str">
        <f>IF(A299="","",D299+SUMIFS('Movimentações'!$E$2:$E1000,'Movimentações'!$C$2:$C1000,A299,'Movimentações'!$B$2:$B1000,"Entrada")-SUMIFS('Movimentações'!$E$2:$E1000,'Movimentações'!$C$2:$C1000,A299,'Movimentações'!$B$2:$B1000,"Saída"))</f>
        <v/>
      </c>
      <c r="F299" s="8" t="str">
        <f t="shared" si="2"/>
        <v/>
      </c>
      <c r="G299" s="8" t="str">
        <f t="shared" si="1"/>
        <v/>
      </c>
    </row>
    <row r="300" ht="15.75" customHeight="1">
      <c r="A300" s="8"/>
      <c r="B300" s="8"/>
      <c r="C300" s="8"/>
      <c r="D300" s="8"/>
      <c r="E300" s="8" t="str">
        <f>IF(A300="","",D300+SUMIFS('Movimentações'!$E$2:$E1000,'Movimentações'!$C$2:$C1000,A300,'Movimentações'!$B$2:$B1000,"Entrada")-SUMIFS('Movimentações'!$E$2:$E1000,'Movimentações'!$C$2:$C1000,A300,'Movimentações'!$B$2:$B1000,"Saída"))</f>
        <v/>
      </c>
      <c r="F300" s="8" t="str">
        <f t="shared" si="2"/>
        <v/>
      </c>
      <c r="G300" s="8" t="str">
        <f t="shared" si="1"/>
        <v/>
      </c>
    </row>
    <row r="301" ht="15.75" customHeight="1">
      <c r="A301" s="8"/>
      <c r="B301" s="8"/>
      <c r="C301" s="8"/>
      <c r="D301" s="8"/>
      <c r="E301" s="8" t="str">
        <f>IF(A301="","",D301+SUMIFS('Movimentações'!$E$2:$E1000,'Movimentações'!$C$2:$C1000,A301,'Movimentações'!$B$2:$B1000,"Entrada")-SUMIFS('Movimentações'!$E$2:$E1000,'Movimentações'!$C$2:$C1000,A301,'Movimentações'!$B$2:$B1000,"Saída"))</f>
        <v/>
      </c>
      <c r="F301" s="8" t="str">
        <f t="shared" si="2"/>
        <v/>
      </c>
      <c r="G301" s="8" t="str">
        <f t="shared" si="1"/>
        <v/>
      </c>
    </row>
    <row r="302" ht="15.75" customHeight="1">
      <c r="A302" s="8"/>
      <c r="B302" s="8"/>
      <c r="C302" s="8"/>
      <c r="D302" s="8"/>
      <c r="E302" s="8" t="str">
        <f>IF(A302="","",D302+SUMIFS('Movimentações'!$E$2:$E1000,'Movimentações'!$C$2:$C1000,A302,'Movimentações'!$B$2:$B1000,"Entrada")-SUMIFS('Movimentações'!$E$2:$E1000,'Movimentações'!$C$2:$C1000,A302,'Movimentações'!$B$2:$B1000,"Saída"))</f>
        <v/>
      </c>
      <c r="F302" s="8" t="str">
        <f t="shared" si="2"/>
        <v/>
      </c>
      <c r="G302" s="8" t="str">
        <f t="shared" si="1"/>
        <v/>
      </c>
    </row>
    <row r="303" ht="15.75" customHeight="1">
      <c r="A303" s="8"/>
      <c r="B303" s="8"/>
      <c r="C303" s="8"/>
      <c r="D303" s="8"/>
      <c r="E303" s="8" t="str">
        <f>IF(A303="","",D303+SUMIFS('Movimentações'!$E$2:$E1000,'Movimentações'!$C$2:$C1000,A303,'Movimentações'!$B$2:$B1000,"Entrada")-SUMIFS('Movimentações'!$E$2:$E1000,'Movimentações'!$C$2:$C1000,A303,'Movimentações'!$B$2:$B1000,"Saída"))</f>
        <v/>
      </c>
      <c r="F303" s="8" t="str">
        <f t="shared" si="2"/>
        <v/>
      </c>
      <c r="G303" s="8" t="str">
        <f t="shared" si="1"/>
        <v/>
      </c>
    </row>
    <row r="304" ht="15.75" customHeight="1">
      <c r="A304" s="8"/>
      <c r="B304" s="8"/>
      <c r="C304" s="8"/>
      <c r="D304" s="8"/>
      <c r="E304" s="8" t="str">
        <f>IF(A304="","",D304+SUMIFS('Movimentações'!$E$2:$E1000,'Movimentações'!$C$2:$C1000,A304,'Movimentações'!$B$2:$B1000,"Entrada")-SUMIFS('Movimentações'!$E$2:$E1000,'Movimentações'!$C$2:$C1000,A304,'Movimentações'!$B$2:$B1000,"Saída"))</f>
        <v/>
      </c>
      <c r="F304" s="8" t="str">
        <f t="shared" si="2"/>
        <v/>
      </c>
      <c r="G304" s="8" t="str">
        <f t="shared" si="1"/>
        <v/>
      </c>
    </row>
    <row r="305" ht="15.75" customHeight="1">
      <c r="A305" s="8"/>
      <c r="B305" s="8"/>
      <c r="C305" s="8"/>
      <c r="D305" s="8"/>
      <c r="E305" s="8" t="str">
        <f>IF(A305="","",D305+SUMIFS('Movimentações'!$E$2:$E1000,'Movimentações'!$C$2:$C1000,A305,'Movimentações'!$B$2:$B1000,"Entrada")-SUMIFS('Movimentações'!$E$2:$E1000,'Movimentações'!$C$2:$C1000,A305,'Movimentações'!$B$2:$B1000,"Saída"))</f>
        <v/>
      </c>
      <c r="F305" s="8" t="str">
        <f t="shared" si="2"/>
        <v/>
      </c>
      <c r="G305" s="8" t="str">
        <f t="shared" si="1"/>
        <v/>
      </c>
    </row>
    <row r="306" ht="15.75" customHeight="1">
      <c r="A306" s="8"/>
      <c r="B306" s="8"/>
      <c r="C306" s="8"/>
      <c r="D306" s="8"/>
      <c r="E306" s="8" t="str">
        <f>IF(A306="","",D306+SUMIFS('Movimentações'!$E$2:$E1000,'Movimentações'!$C$2:$C1000,A306,'Movimentações'!$B$2:$B1000,"Entrada")-SUMIFS('Movimentações'!$E$2:$E1000,'Movimentações'!$C$2:$C1000,A306,'Movimentações'!$B$2:$B1000,"Saída"))</f>
        <v/>
      </c>
      <c r="F306" s="8" t="str">
        <f t="shared" si="2"/>
        <v/>
      </c>
      <c r="G306" s="8" t="str">
        <f t="shared" si="1"/>
        <v/>
      </c>
    </row>
    <row r="307" ht="15.75" customHeight="1">
      <c r="A307" s="8"/>
      <c r="B307" s="8"/>
      <c r="C307" s="8"/>
      <c r="D307" s="8"/>
      <c r="E307" s="8" t="str">
        <f>IF(A307="","",D307+SUMIFS('Movimentações'!$E$2:$E1000,'Movimentações'!$C$2:$C1000,A307,'Movimentações'!$B$2:$B1000,"Entrada")-SUMIFS('Movimentações'!$E$2:$E1000,'Movimentações'!$C$2:$C1000,A307,'Movimentações'!$B$2:$B1000,"Saída"))</f>
        <v/>
      </c>
      <c r="F307" s="8" t="str">
        <f t="shared" si="2"/>
        <v/>
      </c>
      <c r="G307" s="8" t="str">
        <f t="shared" si="1"/>
        <v/>
      </c>
    </row>
    <row r="308" ht="15.75" customHeight="1">
      <c r="A308" s="8"/>
      <c r="B308" s="8"/>
      <c r="C308" s="8"/>
      <c r="D308" s="8"/>
      <c r="E308" s="8" t="str">
        <f>IF(A308="","",D308+SUMIFS('Movimentações'!$E$2:$E1000,'Movimentações'!$C$2:$C1000,A308,'Movimentações'!$B$2:$B1000,"Entrada")-SUMIFS('Movimentações'!$E$2:$E1000,'Movimentações'!$C$2:$C1000,A308,'Movimentações'!$B$2:$B1000,"Saída"))</f>
        <v/>
      </c>
      <c r="F308" s="8" t="str">
        <f t="shared" si="2"/>
        <v/>
      </c>
      <c r="G308" s="8" t="str">
        <f t="shared" si="1"/>
        <v/>
      </c>
    </row>
    <row r="309" ht="15.75" customHeight="1">
      <c r="A309" s="8"/>
      <c r="B309" s="8"/>
      <c r="C309" s="8"/>
      <c r="D309" s="8"/>
      <c r="E309" s="8" t="str">
        <f>IF(A309="","",D309+SUMIFS('Movimentações'!$E$2:$E1000,'Movimentações'!$C$2:$C1000,A309,'Movimentações'!$B$2:$B1000,"Entrada")-SUMIFS('Movimentações'!$E$2:$E1000,'Movimentações'!$C$2:$C1000,A309,'Movimentações'!$B$2:$B1000,"Saída"))</f>
        <v/>
      </c>
      <c r="F309" s="8" t="str">
        <f t="shared" si="2"/>
        <v/>
      </c>
      <c r="G309" s="8" t="str">
        <f t="shared" si="1"/>
        <v/>
      </c>
    </row>
    <row r="310" ht="15.75" customHeight="1">
      <c r="A310" s="8"/>
      <c r="B310" s="8"/>
      <c r="C310" s="8"/>
      <c r="D310" s="8"/>
      <c r="E310" s="8" t="str">
        <f>IF(A310="","",D310+SUMIFS('Movimentações'!$E$2:$E1000,'Movimentações'!$C$2:$C1000,A310,'Movimentações'!$B$2:$B1000,"Entrada")-SUMIFS('Movimentações'!$E$2:$E1000,'Movimentações'!$C$2:$C1000,A310,'Movimentações'!$B$2:$B1000,"Saída"))</f>
        <v/>
      </c>
      <c r="F310" s="8" t="str">
        <f t="shared" si="2"/>
        <v/>
      </c>
      <c r="G310" s="8" t="str">
        <f t="shared" si="1"/>
        <v/>
      </c>
    </row>
    <row r="311" ht="15.75" customHeight="1">
      <c r="A311" s="8"/>
      <c r="B311" s="8"/>
      <c r="C311" s="8"/>
      <c r="D311" s="8"/>
      <c r="E311" s="8" t="str">
        <f>IF(A311="","",D311+SUMIFS('Movimentações'!$E$2:$E1000,'Movimentações'!$C$2:$C1000,A311,'Movimentações'!$B$2:$B1000,"Entrada")-SUMIFS('Movimentações'!$E$2:$E1000,'Movimentações'!$C$2:$C1000,A311,'Movimentações'!$B$2:$B1000,"Saída"))</f>
        <v/>
      </c>
      <c r="F311" s="8" t="str">
        <f t="shared" si="2"/>
        <v/>
      </c>
      <c r="G311" s="8" t="str">
        <f t="shared" si="1"/>
        <v/>
      </c>
    </row>
    <row r="312" ht="15.75" customHeight="1">
      <c r="A312" s="8"/>
      <c r="B312" s="8"/>
      <c r="C312" s="8"/>
      <c r="D312" s="8"/>
      <c r="E312" s="8" t="str">
        <f>IF(A312="","",D312+SUMIFS('Movimentações'!$E$2:$E1000,'Movimentações'!$C$2:$C1000,A312,'Movimentações'!$B$2:$B1000,"Entrada")-SUMIFS('Movimentações'!$E$2:$E1000,'Movimentações'!$C$2:$C1000,A312,'Movimentações'!$B$2:$B1000,"Saída"))</f>
        <v/>
      </c>
      <c r="F312" s="8" t="str">
        <f t="shared" si="2"/>
        <v/>
      </c>
      <c r="G312" s="8" t="str">
        <f t="shared" si="1"/>
        <v/>
      </c>
    </row>
    <row r="313" ht="15.75" customHeight="1">
      <c r="A313" s="8"/>
      <c r="B313" s="8"/>
      <c r="C313" s="8"/>
      <c r="D313" s="8"/>
      <c r="E313" s="8" t="str">
        <f>IF(A313="","",D313+SUMIFS('Movimentações'!$E$2:$E1000,'Movimentações'!$C$2:$C1000,A313,'Movimentações'!$B$2:$B1000,"Entrada")-SUMIFS('Movimentações'!$E$2:$E1000,'Movimentações'!$C$2:$C1000,A313,'Movimentações'!$B$2:$B1000,"Saída"))</f>
        <v/>
      </c>
      <c r="F313" s="8" t="str">
        <f t="shared" si="2"/>
        <v/>
      </c>
      <c r="G313" s="8" t="str">
        <f t="shared" si="1"/>
        <v/>
      </c>
    </row>
    <row r="314" ht="15.75" customHeight="1">
      <c r="A314" s="8"/>
      <c r="B314" s="8"/>
      <c r="C314" s="8"/>
      <c r="D314" s="8"/>
      <c r="E314" s="8" t="str">
        <f>IF(A314="","",D314+SUMIFS('Movimentações'!$E$2:$E1000,'Movimentações'!$C$2:$C1000,A314,'Movimentações'!$B$2:$B1000,"Entrada")-SUMIFS('Movimentações'!$E$2:$E1000,'Movimentações'!$C$2:$C1000,A314,'Movimentações'!$B$2:$B1000,"Saída"))</f>
        <v/>
      </c>
      <c r="F314" s="8" t="str">
        <f t="shared" si="2"/>
        <v/>
      </c>
      <c r="G314" s="8" t="str">
        <f t="shared" si="1"/>
        <v/>
      </c>
    </row>
    <row r="315" ht="15.75" customHeight="1">
      <c r="A315" s="8"/>
      <c r="B315" s="8"/>
      <c r="C315" s="8"/>
      <c r="D315" s="8"/>
      <c r="E315" s="8" t="str">
        <f>IF(A315="","",D315+SUMIFS('Movimentações'!$E$2:$E1000,'Movimentações'!$C$2:$C1000,A315,'Movimentações'!$B$2:$B1000,"Entrada")-SUMIFS('Movimentações'!$E$2:$E1000,'Movimentações'!$C$2:$C1000,A315,'Movimentações'!$B$2:$B1000,"Saída"))</f>
        <v/>
      </c>
      <c r="F315" s="8" t="str">
        <f t="shared" si="2"/>
        <v/>
      </c>
      <c r="G315" s="8" t="str">
        <f t="shared" si="1"/>
        <v/>
      </c>
    </row>
    <row r="316" ht="15.75" customHeight="1">
      <c r="A316" s="8"/>
      <c r="B316" s="8"/>
      <c r="C316" s="8"/>
      <c r="D316" s="8"/>
      <c r="E316" s="8" t="str">
        <f>IF(A316="","",D316+SUMIFS('Movimentações'!$E$2:$E1000,'Movimentações'!$C$2:$C1000,A316,'Movimentações'!$B$2:$B1000,"Entrada")-SUMIFS('Movimentações'!$E$2:$E1000,'Movimentações'!$C$2:$C1000,A316,'Movimentações'!$B$2:$B1000,"Saída"))</f>
        <v/>
      </c>
      <c r="F316" s="8" t="str">
        <f t="shared" si="2"/>
        <v/>
      </c>
      <c r="G316" s="8" t="str">
        <f t="shared" si="1"/>
        <v/>
      </c>
    </row>
    <row r="317" ht="15.75" customHeight="1">
      <c r="A317" s="8"/>
      <c r="B317" s="8"/>
      <c r="C317" s="8"/>
      <c r="D317" s="8"/>
      <c r="E317" s="8" t="str">
        <f>IF(A317="","",D317+SUMIFS('Movimentações'!$E$2:$E1000,'Movimentações'!$C$2:$C1000,A317,'Movimentações'!$B$2:$B1000,"Entrada")-SUMIFS('Movimentações'!$E$2:$E1000,'Movimentações'!$C$2:$C1000,A317,'Movimentações'!$B$2:$B1000,"Saída"))</f>
        <v/>
      </c>
      <c r="F317" s="8" t="str">
        <f t="shared" si="2"/>
        <v/>
      </c>
      <c r="G317" s="8" t="str">
        <f t="shared" si="1"/>
        <v/>
      </c>
    </row>
    <row r="318" ht="15.75" customHeight="1">
      <c r="A318" s="8"/>
      <c r="B318" s="8"/>
      <c r="C318" s="8"/>
      <c r="D318" s="8"/>
      <c r="E318" s="8" t="str">
        <f>IF(A318="","",D318+SUMIFS('Movimentações'!$E$2:$E1000,'Movimentações'!$C$2:$C1000,A318,'Movimentações'!$B$2:$B1000,"Entrada")-SUMIFS('Movimentações'!$E$2:$E1000,'Movimentações'!$C$2:$C1000,A318,'Movimentações'!$B$2:$B1000,"Saída"))</f>
        <v/>
      </c>
      <c r="F318" s="8" t="str">
        <f t="shared" si="2"/>
        <v/>
      </c>
      <c r="G318" s="8" t="str">
        <f t="shared" si="1"/>
        <v/>
      </c>
    </row>
    <row r="319" ht="15.75" customHeight="1">
      <c r="A319" s="8"/>
      <c r="B319" s="8"/>
      <c r="C319" s="8"/>
      <c r="D319" s="8"/>
      <c r="E319" s="8" t="str">
        <f>IF(A319="","",D319+SUMIFS('Movimentações'!$E$2:$E1000,'Movimentações'!$C$2:$C1000,A319,'Movimentações'!$B$2:$B1000,"Entrada")-SUMIFS('Movimentações'!$E$2:$E1000,'Movimentações'!$C$2:$C1000,A319,'Movimentações'!$B$2:$B1000,"Saída"))</f>
        <v/>
      </c>
      <c r="F319" s="8" t="str">
        <f t="shared" si="2"/>
        <v/>
      </c>
      <c r="G319" s="8" t="str">
        <f t="shared" si="1"/>
        <v/>
      </c>
    </row>
    <row r="320" ht="15.75" customHeight="1">
      <c r="A320" s="8"/>
      <c r="B320" s="8"/>
      <c r="C320" s="8"/>
      <c r="D320" s="8"/>
      <c r="E320" s="8" t="str">
        <f>IF(A320="","",D320+SUMIFS('Movimentações'!$E$2:$E1000,'Movimentações'!$C$2:$C1000,A320,'Movimentações'!$B$2:$B1000,"Entrada")-SUMIFS('Movimentações'!$E$2:$E1000,'Movimentações'!$C$2:$C1000,A320,'Movimentações'!$B$2:$B1000,"Saída"))</f>
        <v/>
      </c>
      <c r="F320" s="8" t="str">
        <f t="shared" si="2"/>
        <v/>
      </c>
      <c r="G320" s="8" t="str">
        <f t="shared" si="1"/>
        <v/>
      </c>
    </row>
    <row r="321" ht="15.75" customHeight="1">
      <c r="A321" s="8"/>
      <c r="B321" s="8"/>
      <c r="C321" s="8"/>
      <c r="D321" s="8"/>
      <c r="E321" s="8" t="str">
        <f>IF(A321="","",D321+SUMIFS('Movimentações'!$E$2:$E1000,'Movimentações'!$C$2:$C1000,A321,'Movimentações'!$B$2:$B1000,"Entrada")-SUMIFS('Movimentações'!$E$2:$E1000,'Movimentações'!$C$2:$C1000,A321,'Movimentações'!$B$2:$B1000,"Saída"))</f>
        <v/>
      </c>
      <c r="F321" s="8" t="str">
        <f t="shared" si="2"/>
        <v/>
      </c>
      <c r="G321" s="8" t="str">
        <f t="shared" si="1"/>
        <v/>
      </c>
    </row>
    <row r="322" ht="15.75" customHeight="1">
      <c r="A322" s="8"/>
      <c r="B322" s="8"/>
      <c r="C322" s="8"/>
      <c r="D322" s="8"/>
      <c r="E322" s="8" t="str">
        <f>IF(A322="","",D322+SUMIFS('Movimentações'!$E$2:$E1000,'Movimentações'!$C$2:$C1000,A322,'Movimentações'!$B$2:$B1000,"Entrada")-SUMIFS('Movimentações'!$E$2:$E1000,'Movimentações'!$C$2:$C1000,A322,'Movimentações'!$B$2:$B1000,"Saída"))</f>
        <v/>
      </c>
      <c r="F322" s="8" t="str">
        <f t="shared" si="2"/>
        <v/>
      </c>
      <c r="G322" s="8" t="str">
        <f t="shared" si="1"/>
        <v/>
      </c>
    </row>
    <row r="323" ht="15.75" customHeight="1">
      <c r="A323" s="8"/>
      <c r="B323" s="8"/>
      <c r="C323" s="8"/>
      <c r="D323" s="8"/>
      <c r="E323" s="8" t="str">
        <f>IF(A323="","",D323+SUMIFS('Movimentações'!$E$2:$E1000,'Movimentações'!$C$2:$C1000,A323,'Movimentações'!$B$2:$B1000,"Entrada")-SUMIFS('Movimentações'!$E$2:$E1000,'Movimentações'!$C$2:$C1000,A323,'Movimentações'!$B$2:$B1000,"Saída"))</f>
        <v/>
      </c>
      <c r="F323" s="8" t="str">
        <f t="shared" si="2"/>
        <v/>
      </c>
      <c r="G323" s="8" t="str">
        <f t="shared" si="1"/>
        <v/>
      </c>
    </row>
    <row r="324" ht="15.75" customHeight="1">
      <c r="A324" s="8"/>
      <c r="B324" s="8"/>
      <c r="C324" s="8"/>
      <c r="D324" s="8"/>
      <c r="E324" s="8" t="str">
        <f>IF(A324="","",D324+SUMIFS('Movimentações'!$E$2:$E1000,'Movimentações'!$C$2:$C1000,A324,'Movimentações'!$B$2:$B1000,"Entrada")-SUMIFS('Movimentações'!$E$2:$E1000,'Movimentações'!$C$2:$C1000,A324,'Movimentações'!$B$2:$B1000,"Saída"))</f>
        <v/>
      </c>
      <c r="F324" s="8" t="str">
        <f t="shared" si="2"/>
        <v/>
      </c>
      <c r="G324" s="8" t="str">
        <f t="shared" si="1"/>
        <v/>
      </c>
    </row>
    <row r="325" ht="15.75" customHeight="1">
      <c r="A325" s="8"/>
      <c r="B325" s="8"/>
      <c r="C325" s="8"/>
      <c r="D325" s="8"/>
      <c r="E325" s="8" t="str">
        <f>IF(A325="","",D325+SUMIFS('Movimentações'!$E$2:$E1000,'Movimentações'!$C$2:$C1000,A325,'Movimentações'!$B$2:$B1000,"Entrada")-SUMIFS('Movimentações'!$E$2:$E1000,'Movimentações'!$C$2:$C1000,A325,'Movimentações'!$B$2:$B1000,"Saída"))</f>
        <v/>
      </c>
      <c r="F325" s="8" t="str">
        <f t="shared" si="2"/>
        <v/>
      </c>
      <c r="G325" s="8" t="str">
        <f t="shared" si="1"/>
        <v/>
      </c>
    </row>
    <row r="326" ht="15.75" customHeight="1">
      <c r="A326" s="8"/>
      <c r="B326" s="8"/>
      <c r="C326" s="8"/>
      <c r="D326" s="8"/>
      <c r="E326" s="8" t="str">
        <f>IF(A326="","",D326+SUMIFS('Movimentações'!$E$2:$E1000,'Movimentações'!$C$2:$C1000,A326,'Movimentações'!$B$2:$B1000,"Entrada")-SUMIFS('Movimentações'!$E$2:$E1000,'Movimentações'!$C$2:$C1000,A326,'Movimentações'!$B$2:$B1000,"Saída"))</f>
        <v/>
      </c>
      <c r="F326" s="8" t="str">
        <f t="shared" si="2"/>
        <v/>
      </c>
      <c r="G326" s="8" t="str">
        <f t="shared" si="1"/>
        <v/>
      </c>
    </row>
    <row r="327" ht="15.75" customHeight="1">
      <c r="A327" s="8"/>
      <c r="B327" s="8"/>
      <c r="C327" s="8"/>
      <c r="D327" s="8"/>
      <c r="E327" s="8" t="str">
        <f>IF(A327="","",D327+SUMIFS('Movimentações'!$E$2:$E1000,'Movimentações'!$C$2:$C1000,A327,'Movimentações'!$B$2:$B1000,"Entrada")-SUMIFS('Movimentações'!$E$2:$E1000,'Movimentações'!$C$2:$C1000,A327,'Movimentações'!$B$2:$B1000,"Saída"))</f>
        <v/>
      </c>
      <c r="F327" s="8" t="str">
        <f t="shared" si="2"/>
        <v/>
      </c>
      <c r="G327" s="8" t="str">
        <f t="shared" si="1"/>
        <v/>
      </c>
    </row>
    <row r="328" ht="15.75" customHeight="1">
      <c r="A328" s="8"/>
      <c r="B328" s="8"/>
      <c r="C328" s="8"/>
      <c r="D328" s="8"/>
      <c r="E328" s="8" t="str">
        <f>IF(A328="","",D328+SUMIFS('Movimentações'!$E$2:$E1000,'Movimentações'!$C$2:$C1000,A328,'Movimentações'!$B$2:$B1000,"Entrada")-SUMIFS('Movimentações'!$E$2:$E1000,'Movimentações'!$C$2:$C1000,A328,'Movimentações'!$B$2:$B1000,"Saída"))</f>
        <v/>
      </c>
      <c r="F328" s="8" t="str">
        <f t="shared" si="2"/>
        <v/>
      </c>
      <c r="G328" s="8" t="str">
        <f t="shared" si="1"/>
        <v/>
      </c>
    </row>
    <row r="329" ht="15.75" customHeight="1">
      <c r="A329" s="8"/>
      <c r="B329" s="8"/>
      <c r="C329" s="8"/>
      <c r="D329" s="8"/>
      <c r="E329" s="8" t="str">
        <f>IF(A329="","",D329+SUMIFS('Movimentações'!$E$2:$E1000,'Movimentações'!$C$2:$C1000,A329,'Movimentações'!$B$2:$B1000,"Entrada")-SUMIFS('Movimentações'!$E$2:$E1000,'Movimentações'!$C$2:$C1000,A329,'Movimentações'!$B$2:$B1000,"Saída"))</f>
        <v/>
      </c>
      <c r="F329" s="8" t="str">
        <f t="shared" si="2"/>
        <v/>
      </c>
      <c r="G329" s="8" t="str">
        <f t="shared" si="1"/>
        <v/>
      </c>
    </row>
    <row r="330" ht="15.75" customHeight="1">
      <c r="A330" s="8"/>
      <c r="B330" s="8"/>
      <c r="C330" s="8"/>
      <c r="D330" s="8"/>
      <c r="E330" s="8" t="str">
        <f>IF(A330="","",D330+SUMIFS('Movimentações'!$E$2:$E1000,'Movimentações'!$C$2:$C1000,A330,'Movimentações'!$B$2:$B1000,"Entrada")-SUMIFS('Movimentações'!$E$2:$E1000,'Movimentações'!$C$2:$C1000,A330,'Movimentações'!$B$2:$B1000,"Saída"))</f>
        <v/>
      </c>
      <c r="F330" s="8" t="str">
        <f t="shared" si="2"/>
        <v/>
      </c>
      <c r="G330" s="8" t="str">
        <f t="shared" si="1"/>
        <v/>
      </c>
    </row>
    <row r="331" ht="15.75" customHeight="1">
      <c r="A331" s="8"/>
      <c r="B331" s="8"/>
      <c r="C331" s="8"/>
      <c r="D331" s="8"/>
      <c r="E331" s="8" t="str">
        <f>IF(A331="","",D331+SUMIFS('Movimentações'!$E$2:$E1000,'Movimentações'!$C$2:$C1000,A331,'Movimentações'!$B$2:$B1000,"Entrada")-SUMIFS('Movimentações'!$E$2:$E1000,'Movimentações'!$C$2:$C1000,A331,'Movimentações'!$B$2:$B1000,"Saída"))</f>
        <v/>
      </c>
      <c r="F331" s="8" t="str">
        <f t="shared" si="2"/>
        <v/>
      </c>
      <c r="G331" s="8" t="str">
        <f t="shared" si="1"/>
        <v/>
      </c>
    </row>
    <row r="332" ht="15.75" customHeight="1">
      <c r="A332" s="8"/>
      <c r="B332" s="8"/>
      <c r="C332" s="8"/>
      <c r="D332" s="8"/>
      <c r="E332" s="8" t="str">
        <f>IF(A332="","",D332+SUMIFS('Movimentações'!$E$2:$E1000,'Movimentações'!$C$2:$C1000,A332,'Movimentações'!$B$2:$B1000,"Entrada")-SUMIFS('Movimentações'!$E$2:$E1000,'Movimentações'!$C$2:$C1000,A332,'Movimentações'!$B$2:$B1000,"Saída"))</f>
        <v/>
      </c>
      <c r="F332" s="8" t="str">
        <f t="shared" si="2"/>
        <v/>
      </c>
      <c r="G332" s="8" t="str">
        <f t="shared" si="1"/>
        <v/>
      </c>
    </row>
    <row r="333" ht="15.75" customHeight="1">
      <c r="A333" s="8"/>
      <c r="B333" s="8"/>
      <c r="C333" s="8"/>
      <c r="D333" s="8"/>
      <c r="E333" s="8" t="str">
        <f>IF(A333="","",D333+SUMIFS('Movimentações'!$E$2:$E1000,'Movimentações'!$C$2:$C1000,A333,'Movimentações'!$B$2:$B1000,"Entrada")-SUMIFS('Movimentações'!$E$2:$E1000,'Movimentações'!$C$2:$C1000,A333,'Movimentações'!$B$2:$B1000,"Saída"))</f>
        <v/>
      </c>
      <c r="F333" s="8" t="str">
        <f t="shared" si="2"/>
        <v/>
      </c>
      <c r="G333" s="8" t="str">
        <f t="shared" si="1"/>
        <v/>
      </c>
    </row>
    <row r="334" ht="15.75" customHeight="1">
      <c r="A334" s="8"/>
      <c r="B334" s="8"/>
      <c r="C334" s="8"/>
      <c r="D334" s="8"/>
      <c r="E334" s="8" t="str">
        <f>IF(A334="","",D334+SUMIFS('Movimentações'!$E$2:$E1000,'Movimentações'!$C$2:$C1000,A334,'Movimentações'!$B$2:$B1000,"Entrada")-SUMIFS('Movimentações'!$E$2:$E1000,'Movimentações'!$C$2:$C1000,A334,'Movimentações'!$B$2:$B1000,"Saída"))</f>
        <v/>
      </c>
      <c r="F334" s="8" t="str">
        <f t="shared" si="2"/>
        <v/>
      </c>
      <c r="G334" s="8" t="str">
        <f t="shared" si="1"/>
        <v/>
      </c>
    </row>
    <row r="335" ht="15.75" customHeight="1">
      <c r="A335" s="8"/>
      <c r="B335" s="8"/>
      <c r="C335" s="8"/>
      <c r="D335" s="8"/>
      <c r="E335" s="8" t="str">
        <f>IF(A335="","",D335+SUMIFS('Movimentações'!$E$2:$E1000,'Movimentações'!$C$2:$C1000,A335,'Movimentações'!$B$2:$B1000,"Entrada")-SUMIFS('Movimentações'!$E$2:$E1000,'Movimentações'!$C$2:$C1000,A335,'Movimentações'!$B$2:$B1000,"Saída"))</f>
        <v/>
      </c>
      <c r="F335" s="8" t="str">
        <f t="shared" si="2"/>
        <v/>
      </c>
      <c r="G335" s="8" t="str">
        <f t="shared" si="1"/>
        <v/>
      </c>
    </row>
    <row r="336" ht="15.75" customHeight="1">
      <c r="A336" s="8"/>
      <c r="B336" s="8"/>
      <c r="C336" s="8"/>
      <c r="D336" s="8"/>
      <c r="E336" s="8" t="str">
        <f>IF(A336="","",D336+SUMIFS('Movimentações'!$E$2:$E1000,'Movimentações'!$C$2:$C1000,A336,'Movimentações'!$B$2:$B1000,"Entrada")-SUMIFS('Movimentações'!$E$2:$E1000,'Movimentações'!$C$2:$C1000,A336,'Movimentações'!$B$2:$B1000,"Saída"))</f>
        <v/>
      </c>
      <c r="F336" s="8" t="str">
        <f t="shared" si="2"/>
        <v/>
      </c>
      <c r="G336" s="8" t="str">
        <f t="shared" si="1"/>
        <v/>
      </c>
    </row>
    <row r="337" ht="15.75" customHeight="1">
      <c r="A337" s="8"/>
      <c r="B337" s="8"/>
      <c r="C337" s="8"/>
      <c r="D337" s="8"/>
      <c r="E337" s="8" t="str">
        <f>IF(A337="","",D337+SUMIFS('Movimentações'!$E$2:$E1000,'Movimentações'!$C$2:$C1000,A337,'Movimentações'!$B$2:$B1000,"Entrada")-SUMIFS('Movimentações'!$E$2:$E1000,'Movimentações'!$C$2:$C1000,A337,'Movimentações'!$B$2:$B1000,"Saída"))</f>
        <v/>
      </c>
      <c r="F337" s="8" t="str">
        <f t="shared" si="2"/>
        <v/>
      </c>
      <c r="G337" s="8" t="str">
        <f t="shared" si="1"/>
        <v/>
      </c>
    </row>
    <row r="338" ht="15.75" customHeight="1">
      <c r="A338" s="8"/>
      <c r="B338" s="8"/>
      <c r="C338" s="8"/>
      <c r="D338" s="8"/>
      <c r="E338" s="8" t="str">
        <f>IF(A338="","",D338+SUMIFS('Movimentações'!$E$2:$E1000,'Movimentações'!$C$2:$C1000,A338,'Movimentações'!$B$2:$B1000,"Entrada")-SUMIFS('Movimentações'!$E$2:$E1000,'Movimentações'!$C$2:$C1000,A338,'Movimentações'!$B$2:$B1000,"Saída"))</f>
        <v/>
      </c>
      <c r="F338" s="8" t="str">
        <f t="shared" si="2"/>
        <v/>
      </c>
      <c r="G338" s="8" t="str">
        <f t="shared" si="1"/>
        <v/>
      </c>
    </row>
    <row r="339" ht="15.75" customHeight="1">
      <c r="A339" s="8"/>
      <c r="B339" s="8"/>
      <c r="C339" s="8"/>
      <c r="D339" s="8"/>
      <c r="E339" s="8" t="str">
        <f>IF(A339="","",D339+SUMIFS('Movimentações'!$E$2:$E1000,'Movimentações'!$C$2:$C1000,A339,'Movimentações'!$B$2:$B1000,"Entrada")-SUMIFS('Movimentações'!$E$2:$E1000,'Movimentações'!$C$2:$C1000,A339,'Movimentações'!$B$2:$B1000,"Saída"))</f>
        <v/>
      </c>
      <c r="F339" s="8" t="str">
        <f t="shared" si="2"/>
        <v/>
      </c>
      <c r="G339" s="8" t="str">
        <f t="shared" si="1"/>
        <v/>
      </c>
    </row>
    <row r="340" ht="15.75" customHeight="1">
      <c r="A340" s="8"/>
      <c r="B340" s="8"/>
      <c r="C340" s="8"/>
      <c r="D340" s="8"/>
      <c r="E340" s="8" t="str">
        <f>IF(A340="","",D340+SUMIFS('Movimentações'!$E$2:$E1000,'Movimentações'!$C$2:$C1000,A340,'Movimentações'!$B$2:$B1000,"Entrada")-SUMIFS('Movimentações'!$E$2:$E1000,'Movimentações'!$C$2:$C1000,A340,'Movimentações'!$B$2:$B1000,"Saída"))</f>
        <v/>
      </c>
      <c r="F340" s="8" t="str">
        <f t="shared" si="2"/>
        <v/>
      </c>
      <c r="G340" s="8" t="str">
        <f t="shared" si="1"/>
        <v/>
      </c>
    </row>
    <row r="341" ht="15.75" customHeight="1">
      <c r="A341" s="8"/>
      <c r="B341" s="8"/>
      <c r="C341" s="8"/>
      <c r="D341" s="8"/>
      <c r="E341" s="8" t="str">
        <f>IF(A341="","",D341+SUMIFS('Movimentações'!$E$2:$E1000,'Movimentações'!$C$2:$C1000,A341,'Movimentações'!$B$2:$B1000,"Entrada")-SUMIFS('Movimentações'!$E$2:$E1000,'Movimentações'!$C$2:$C1000,A341,'Movimentações'!$B$2:$B1000,"Saída"))</f>
        <v/>
      </c>
      <c r="F341" s="8" t="str">
        <f t="shared" si="2"/>
        <v/>
      </c>
      <c r="G341" s="8" t="str">
        <f t="shared" si="1"/>
        <v/>
      </c>
    </row>
    <row r="342" ht="15.75" customHeight="1">
      <c r="A342" s="8"/>
      <c r="B342" s="8"/>
      <c r="C342" s="8"/>
      <c r="D342" s="8"/>
      <c r="E342" s="8" t="str">
        <f>IF(A342="","",D342+SUMIFS('Movimentações'!$E$2:$E1000,'Movimentações'!$C$2:$C1000,A342,'Movimentações'!$B$2:$B1000,"Entrada")-SUMIFS('Movimentações'!$E$2:$E1000,'Movimentações'!$C$2:$C1000,A342,'Movimentações'!$B$2:$B1000,"Saída"))</f>
        <v/>
      </c>
      <c r="F342" s="8" t="str">
        <f t="shared" si="2"/>
        <v/>
      </c>
      <c r="G342" s="8" t="str">
        <f t="shared" si="1"/>
        <v/>
      </c>
    </row>
    <row r="343" ht="15.75" customHeight="1">
      <c r="A343" s="8"/>
      <c r="B343" s="8"/>
      <c r="C343" s="8"/>
      <c r="D343" s="8"/>
      <c r="E343" s="8" t="str">
        <f>IF(A343="","",D343+SUMIFS('Movimentações'!$E$2:$E1000,'Movimentações'!$C$2:$C1000,A343,'Movimentações'!$B$2:$B1000,"Entrada")-SUMIFS('Movimentações'!$E$2:$E1000,'Movimentações'!$C$2:$C1000,A343,'Movimentações'!$B$2:$B1000,"Saída"))</f>
        <v/>
      </c>
      <c r="F343" s="8" t="str">
        <f t="shared" si="2"/>
        <v/>
      </c>
      <c r="G343" s="8" t="str">
        <f t="shared" si="1"/>
        <v/>
      </c>
    </row>
    <row r="344" ht="15.75" customHeight="1">
      <c r="A344" s="8"/>
      <c r="B344" s="8"/>
      <c r="C344" s="8"/>
      <c r="D344" s="8"/>
      <c r="E344" s="8" t="str">
        <f>IF(A344="","",D344+SUMIFS('Movimentações'!$E$2:$E1000,'Movimentações'!$C$2:$C1000,A344,'Movimentações'!$B$2:$B1000,"Entrada")-SUMIFS('Movimentações'!$E$2:$E1000,'Movimentações'!$C$2:$C1000,A344,'Movimentações'!$B$2:$B1000,"Saída"))</f>
        <v/>
      </c>
      <c r="F344" s="8" t="str">
        <f t="shared" si="2"/>
        <v/>
      </c>
      <c r="G344" s="8" t="str">
        <f t="shared" si="1"/>
        <v/>
      </c>
    </row>
    <row r="345" ht="15.75" customHeight="1">
      <c r="A345" s="8"/>
      <c r="B345" s="8"/>
      <c r="C345" s="8"/>
      <c r="D345" s="8"/>
      <c r="E345" s="8" t="str">
        <f>IF(A345="","",D345+SUMIFS('Movimentações'!$E$2:$E1000,'Movimentações'!$C$2:$C1000,A345,'Movimentações'!$B$2:$B1000,"Entrada")-SUMIFS('Movimentações'!$E$2:$E1000,'Movimentações'!$C$2:$C1000,A345,'Movimentações'!$B$2:$B1000,"Saída"))</f>
        <v/>
      </c>
      <c r="F345" s="8" t="str">
        <f t="shared" si="2"/>
        <v/>
      </c>
      <c r="G345" s="8" t="str">
        <f t="shared" si="1"/>
        <v/>
      </c>
    </row>
    <row r="346" ht="15.75" customHeight="1">
      <c r="A346" s="8"/>
      <c r="B346" s="8"/>
      <c r="C346" s="8"/>
      <c r="D346" s="8"/>
      <c r="E346" s="8" t="str">
        <f>IF(A346="","",D346+SUMIFS('Movimentações'!$E$2:$E1000,'Movimentações'!$C$2:$C1000,A346,'Movimentações'!$B$2:$B1000,"Entrada")-SUMIFS('Movimentações'!$E$2:$E1000,'Movimentações'!$C$2:$C1000,A346,'Movimentações'!$B$2:$B1000,"Saída"))</f>
        <v/>
      </c>
      <c r="F346" s="8" t="str">
        <f t="shared" si="2"/>
        <v/>
      </c>
      <c r="G346" s="8" t="str">
        <f t="shared" si="1"/>
        <v/>
      </c>
    </row>
    <row r="347" ht="15.75" customHeight="1">
      <c r="A347" s="8"/>
      <c r="B347" s="8"/>
      <c r="C347" s="8"/>
      <c r="D347" s="8"/>
      <c r="E347" s="8" t="str">
        <f>IF(A347="","",D347+SUMIFS('Movimentações'!$E$2:$E1000,'Movimentações'!$C$2:$C1000,A347,'Movimentações'!$B$2:$B1000,"Entrada")-SUMIFS('Movimentações'!$E$2:$E1000,'Movimentações'!$C$2:$C1000,A347,'Movimentações'!$B$2:$B1000,"Saída"))</f>
        <v/>
      </c>
      <c r="F347" s="8" t="str">
        <f t="shared" si="2"/>
        <v/>
      </c>
      <c r="G347" s="8" t="str">
        <f t="shared" si="1"/>
        <v/>
      </c>
    </row>
    <row r="348" ht="15.75" customHeight="1">
      <c r="A348" s="8"/>
      <c r="B348" s="8"/>
      <c r="C348" s="8"/>
      <c r="D348" s="8"/>
      <c r="E348" s="8" t="str">
        <f>IF(A348="","",D348+SUMIFS('Movimentações'!$E$2:$E1000,'Movimentações'!$C$2:$C1000,A348,'Movimentações'!$B$2:$B1000,"Entrada")-SUMIFS('Movimentações'!$E$2:$E1000,'Movimentações'!$C$2:$C1000,A348,'Movimentações'!$B$2:$B1000,"Saída"))</f>
        <v/>
      </c>
      <c r="F348" s="8" t="str">
        <f t="shared" si="2"/>
        <v/>
      </c>
      <c r="G348" s="8" t="str">
        <f t="shared" si="1"/>
        <v/>
      </c>
    </row>
    <row r="349" ht="15.75" customHeight="1">
      <c r="A349" s="8"/>
      <c r="B349" s="8"/>
      <c r="C349" s="8"/>
      <c r="D349" s="8"/>
      <c r="E349" s="8" t="str">
        <f>IF(A349="","",D349+SUMIFS('Movimentações'!$E$2:$E1000,'Movimentações'!$C$2:$C1000,A349,'Movimentações'!$B$2:$B1000,"Entrada")-SUMIFS('Movimentações'!$E$2:$E1000,'Movimentações'!$C$2:$C1000,A349,'Movimentações'!$B$2:$B1000,"Saída"))</f>
        <v/>
      </c>
      <c r="F349" s="8" t="str">
        <f t="shared" si="2"/>
        <v/>
      </c>
      <c r="G349" s="8" t="str">
        <f t="shared" si="1"/>
        <v/>
      </c>
    </row>
    <row r="350" ht="15.75" customHeight="1">
      <c r="A350" s="8"/>
      <c r="B350" s="8"/>
      <c r="C350" s="8"/>
      <c r="D350" s="8"/>
      <c r="E350" s="8" t="str">
        <f>IF(A350="","",D350+SUMIFS('Movimentações'!$E$2:$E1000,'Movimentações'!$C$2:$C1000,A350,'Movimentações'!$B$2:$B1000,"Entrada")-SUMIFS('Movimentações'!$E$2:$E1000,'Movimentações'!$C$2:$C1000,A350,'Movimentações'!$B$2:$B1000,"Saída"))</f>
        <v/>
      </c>
      <c r="F350" s="8" t="str">
        <f t="shared" si="2"/>
        <v/>
      </c>
      <c r="G350" s="8" t="str">
        <f t="shared" si="1"/>
        <v/>
      </c>
    </row>
    <row r="351" ht="15.75" customHeight="1">
      <c r="A351" s="8"/>
      <c r="B351" s="8"/>
      <c r="C351" s="8"/>
      <c r="D351" s="8"/>
      <c r="E351" s="8" t="str">
        <f>IF(A351="","",D351+SUMIFS('Movimentações'!$E$2:$E1000,'Movimentações'!$C$2:$C1000,A351,'Movimentações'!$B$2:$B1000,"Entrada")-SUMIFS('Movimentações'!$E$2:$E1000,'Movimentações'!$C$2:$C1000,A351,'Movimentações'!$B$2:$B1000,"Saída"))</f>
        <v/>
      </c>
      <c r="F351" s="8" t="str">
        <f t="shared" si="2"/>
        <v/>
      </c>
      <c r="G351" s="8" t="str">
        <f t="shared" si="1"/>
        <v/>
      </c>
    </row>
    <row r="352" ht="15.75" customHeight="1">
      <c r="A352" s="8"/>
      <c r="B352" s="8"/>
      <c r="C352" s="8"/>
      <c r="D352" s="8"/>
      <c r="E352" s="8" t="str">
        <f>IF(A352="","",D352+SUMIFS('Movimentações'!$E$2:$E1000,'Movimentações'!$C$2:$C1000,A352,'Movimentações'!$B$2:$B1000,"Entrada")-SUMIFS('Movimentações'!$E$2:$E1000,'Movimentações'!$C$2:$C1000,A352,'Movimentações'!$B$2:$B1000,"Saída"))</f>
        <v/>
      </c>
      <c r="F352" s="8" t="str">
        <f t="shared" si="2"/>
        <v/>
      </c>
      <c r="G352" s="8" t="str">
        <f t="shared" si="1"/>
        <v/>
      </c>
    </row>
    <row r="353" ht="15.75" customHeight="1">
      <c r="A353" s="8"/>
      <c r="B353" s="8"/>
      <c r="C353" s="8"/>
      <c r="D353" s="8"/>
      <c r="E353" s="8" t="str">
        <f>IF(A353="","",D353+SUMIFS('Movimentações'!$E$2:$E1000,'Movimentações'!$C$2:$C1000,A353,'Movimentações'!$B$2:$B1000,"Entrada")-SUMIFS('Movimentações'!$E$2:$E1000,'Movimentações'!$C$2:$C1000,A353,'Movimentações'!$B$2:$B1000,"Saída"))</f>
        <v/>
      </c>
      <c r="F353" s="8" t="str">
        <f t="shared" si="2"/>
        <v/>
      </c>
      <c r="G353" s="8" t="str">
        <f t="shared" si="1"/>
        <v/>
      </c>
    </row>
    <row r="354" ht="15.75" customHeight="1">
      <c r="A354" s="8"/>
      <c r="B354" s="8"/>
      <c r="C354" s="8"/>
      <c r="D354" s="8"/>
      <c r="E354" s="8" t="str">
        <f>IF(A354="","",D354+SUMIFS('Movimentações'!$E$2:$E1000,'Movimentações'!$C$2:$C1000,A354,'Movimentações'!$B$2:$B1000,"Entrada")-SUMIFS('Movimentações'!$E$2:$E1000,'Movimentações'!$C$2:$C1000,A354,'Movimentações'!$B$2:$B1000,"Saída"))</f>
        <v/>
      </c>
      <c r="F354" s="8" t="str">
        <f t="shared" si="2"/>
        <v/>
      </c>
      <c r="G354" s="8" t="str">
        <f t="shared" si="1"/>
        <v/>
      </c>
    </row>
    <row r="355" ht="15.75" customHeight="1">
      <c r="A355" s="8"/>
      <c r="B355" s="8"/>
      <c r="C355" s="8"/>
      <c r="D355" s="8"/>
      <c r="E355" s="8" t="str">
        <f>IF(A355="","",D355+SUMIFS('Movimentações'!$E$2:$E1000,'Movimentações'!$C$2:$C1000,A355,'Movimentações'!$B$2:$B1000,"Entrada")-SUMIFS('Movimentações'!$E$2:$E1000,'Movimentações'!$C$2:$C1000,A355,'Movimentações'!$B$2:$B1000,"Saída"))</f>
        <v/>
      </c>
      <c r="F355" s="8" t="str">
        <f t="shared" si="2"/>
        <v/>
      </c>
      <c r="G355" s="8" t="str">
        <f t="shared" si="1"/>
        <v/>
      </c>
    </row>
    <row r="356" ht="15.75" customHeight="1">
      <c r="A356" s="8"/>
      <c r="B356" s="8"/>
      <c r="C356" s="8"/>
      <c r="D356" s="8"/>
      <c r="E356" s="8" t="str">
        <f>IF(A356="","",D356+SUMIFS('Movimentações'!$E$2:$E1000,'Movimentações'!$C$2:$C1000,A356,'Movimentações'!$B$2:$B1000,"Entrada")-SUMIFS('Movimentações'!$E$2:$E1000,'Movimentações'!$C$2:$C1000,A356,'Movimentações'!$B$2:$B1000,"Saída"))</f>
        <v/>
      </c>
      <c r="F356" s="8" t="str">
        <f t="shared" si="2"/>
        <v/>
      </c>
      <c r="G356" s="8" t="str">
        <f t="shared" si="1"/>
        <v/>
      </c>
    </row>
    <row r="357" ht="15.75" customHeight="1">
      <c r="A357" s="8"/>
      <c r="B357" s="8"/>
      <c r="C357" s="8"/>
      <c r="D357" s="8"/>
      <c r="E357" s="8" t="str">
        <f>IF(A357="","",D357+SUMIFS('Movimentações'!$E$2:$E1000,'Movimentações'!$C$2:$C1000,A357,'Movimentações'!$B$2:$B1000,"Entrada")-SUMIFS('Movimentações'!$E$2:$E1000,'Movimentações'!$C$2:$C1000,A357,'Movimentações'!$B$2:$B1000,"Saída"))</f>
        <v/>
      </c>
      <c r="F357" s="8" t="str">
        <f t="shared" si="2"/>
        <v/>
      </c>
      <c r="G357" s="8" t="str">
        <f t="shared" si="1"/>
        <v/>
      </c>
    </row>
    <row r="358" ht="15.75" customHeight="1">
      <c r="A358" s="8"/>
      <c r="B358" s="8"/>
      <c r="C358" s="8"/>
      <c r="D358" s="8"/>
      <c r="E358" s="8" t="str">
        <f>IF(A358="","",D358+SUMIFS('Movimentações'!$E$2:$E1000,'Movimentações'!$C$2:$C1000,A358,'Movimentações'!$B$2:$B1000,"Entrada")-SUMIFS('Movimentações'!$E$2:$E1000,'Movimentações'!$C$2:$C1000,A358,'Movimentações'!$B$2:$B1000,"Saída"))</f>
        <v/>
      </c>
      <c r="F358" s="8" t="str">
        <f t="shared" si="2"/>
        <v/>
      </c>
      <c r="G358" s="8" t="str">
        <f t="shared" si="1"/>
        <v/>
      </c>
    </row>
    <row r="359" ht="15.75" customHeight="1">
      <c r="A359" s="8"/>
      <c r="B359" s="8"/>
      <c r="C359" s="8"/>
      <c r="D359" s="8"/>
      <c r="E359" s="8" t="str">
        <f>IF(A359="","",D359+SUMIFS('Movimentações'!$E$2:$E1000,'Movimentações'!$C$2:$C1000,A359,'Movimentações'!$B$2:$B1000,"Entrada")-SUMIFS('Movimentações'!$E$2:$E1000,'Movimentações'!$C$2:$C1000,A359,'Movimentações'!$B$2:$B1000,"Saída"))</f>
        <v/>
      </c>
      <c r="F359" s="8" t="str">
        <f t="shared" si="2"/>
        <v/>
      </c>
      <c r="G359" s="8" t="str">
        <f t="shared" si="1"/>
        <v/>
      </c>
    </row>
    <row r="360" ht="15.75" customHeight="1">
      <c r="A360" s="8"/>
      <c r="B360" s="8"/>
      <c r="C360" s="8"/>
      <c r="D360" s="8"/>
      <c r="E360" s="8" t="str">
        <f>IF(A360="","",D360+SUMIFS('Movimentações'!$E$2:$E1000,'Movimentações'!$C$2:$C1000,A360,'Movimentações'!$B$2:$B1000,"Entrada")-SUMIFS('Movimentações'!$E$2:$E1000,'Movimentações'!$C$2:$C1000,A360,'Movimentações'!$B$2:$B1000,"Saída"))</f>
        <v/>
      </c>
      <c r="F360" s="8" t="str">
        <f t="shared" si="2"/>
        <v/>
      </c>
      <c r="G360" s="8" t="str">
        <f t="shared" si="1"/>
        <v/>
      </c>
    </row>
    <row r="361" ht="15.75" customHeight="1">
      <c r="A361" s="8"/>
      <c r="B361" s="8"/>
      <c r="C361" s="8"/>
      <c r="D361" s="8"/>
      <c r="E361" s="8" t="str">
        <f>IF(A361="","",D361+SUMIFS('Movimentações'!$E$2:$E1000,'Movimentações'!$C$2:$C1000,A361,'Movimentações'!$B$2:$B1000,"Entrada")-SUMIFS('Movimentações'!$E$2:$E1000,'Movimentações'!$C$2:$C1000,A361,'Movimentações'!$B$2:$B1000,"Saída"))</f>
        <v/>
      </c>
      <c r="F361" s="8" t="str">
        <f t="shared" si="2"/>
        <v/>
      </c>
      <c r="G361" s="8" t="str">
        <f t="shared" si="1"/>
        <v/>
      </c>
    </row>
    <row r="362" ht="15.75" customHeight="1">
      <c r="A362" s="8"/>
      <c r="B362" s="8"/>
      <c r="C362" s="8"/>
      <c r="D362" s="8"/>
      <c r="E362" s="8" t="str">
        <f>IF(A362="","",D362+SUMIFS('Movimentações'!$E$2:$E1000,'Movimentações'!$C$2:$C1000,A362,'Movimentações'!$B$2:$B1000,"Entrada")-SUMIFS('Movimentações'!$E$2:$E1000,'Movimentações'!$C$2:$C1000,A362,'Movimentações'!$B$2:$B1000,"Saída"))</f>
        <v/>
      </c>
      <c r="F362" s="8" t="str">
        <f t="shared" si="2"/>
        <v/>
      </c>
      <c r="G362" s="8" t="str">
        <f t="shared" si="1"/>
        <v/>
      </c>
    </row>
    <row r="363" ht="15.75" customHeight="1">
      <c r="A363" s="8"/>
      <c r="B363" s="8"/>
      <c r="C363" s="8"/>
      <c r="D363" s="8"/>
      <c r="E363" s="8" t="str">
        <f>IF(A363="","",D363+SUMIFS('Movimentações'!$E$2:$E1000,'Movimentações'!$C$2:$C1000,A363,'Movimentações'!$B$2:$B1000,"Entrada")-SUMIFS('Movimentações'!$E$2:$E1000,'Movimentações'!$C$2:$C1000,A363,'Movimentações'!$B$2:$B1000,"Saída"))</f>
        <v/>
      </c>
      <c r="F363" s="8" t="str">
        <f t="shared" si="2"/>
        <v/>
      </c>
      <c r="G363" s="8" t="str">
        <f t="shared" si="1"/>
        <v/>
      </c>
    </row>
    <row r="364" ht="15.75" customHeight="1">
      <c r="A364" s="8"/>
      <c r="B364" s="8"/>
      <c r="C364" s="8"/>
      <c r="D364" s="8"/>
      <c r="E364" s="8" t="str">
        <f>IF(A364="","",D364+SUMIFS('Movimentações'!$E$2:$E1000,'Movimentações'!$C$2:$C1000,A364,'Movimentações'!$B$2:$B1000,"Entrada")-SUMIFS('Movimentações'!$E$2:$E1000,'Movimentações'!$C$2:$C1000,A364,'Movimentações'!$B$2:$B1000,"Saída"))</f>
        <v/>
      </c>
      <c r="F364" s="8" t="str">
        <f t="shared" si="2"/>
        <v/>
      </c>
      <c r="G364" s="8" t="str">
        <f t="shared" si="1"/>
        <v/>
      </c>
    </row>
    <row r="365" ht="15.75" customHeight="1">
      <c r="A365" s="8"/>
      <c r="B365" s="8"/>
      <c r="C365" s="8"/>
      <c r="D365" s="8"/>
      <c r="E365" s="8" t="str">
        <f>IF(A365="","",D365+SUMIFS('Movimentações'!$E$2:$E1000,'Movimentações'!$C$2:$C1000,A365,'Movimentações'!$B$2:$B1000,"Entrada")-SUMIFS('Movimentações'!$E$2:$E1000,'Movimentações'!$C$2:$C1000,A365,'Movimentações'!$B$2:$B1000,"Saída"))</f>
        <v/>
      </c>
      <c r="F365" s="8" t="str">
        <f t="shared" si="2"/>
        <v/>
      </c>
      <c r="G365" s="8" t="str">
        <f t="shared" si="1"/>
        <v/>
      </c>
    </row>
    <row r="366" ht="15.75" customHeight="1">
      <c r="A366" s="8"/>
      <c r="B366" s="8"/>
      <c r="C366" s="8"/>
      <c r="D366" s="8"/>
      <c r="E366" s="8" t="str">
        <f>IF(A366="","",D366+SUMIFS('Movimentações'!$E$2:$E1000,'Movimentações'!$C$2:$C1000,A366,'Movimentações'!$B$2:$B1000,"Entrada")-SUMIFS('Movimentações'!$E$2:$E1000,'Movimentações'!$C$2:$C1000,A366,'Movimentações'!$B$2:$B1000,"Saída"))</f>
        <v/>
      </c>
      <c r="F366" s="8" t="str">
        <f t="shared" si="2"/>
        <v/>
      </c>
      <c r="G366" s="8" t="str">
        <f t="shared" si="1"/>
        <v/>
      </c>
    </row>
    <row r="367" ht="15.75" customHeight="1">
      <c r="A367" s="8"/>
      <c r="B367" s="8"/>
      <c r="C367" s="8"/>
      <c r="D367" s="8"/>
      <c r="E367" s="8" t="str">
        <f>IF(A367="","",D367+SUMIFS('Movimentações'!$E$2:$E1000,'Movimentações'!$C$2:$C1000,A367,'Movimentações'!$B$2:$B1000,"Entrada")-SUMIFS('Movimentações'!$E$2:$E1000,'Movimentações'!$C$2:$C1000,A367,'Movimentações'!$B$2:$B1000,"Saída"))</f>
        <v/>
      </c>
      <c r="F367" s="8" t="str">
        <f t="shared" si="2"/>
        <v/>
      </c>
      <c r="G367" s="8" t="str">
        <f t="shared" si="1"/>
        <v/>
      </c>
    </row>
    <row r="368" ht="15.75" customHeight="1">
      <c r="A368" s="8"/>
      <c r="B368" s="8"/>
      <c r="C368" s="8"/>
      <c r="D368" s="8"/>
      <c r="E368" s="8" t="str">
        <f>IF(A368="","",D368+SUMIFS('Movimentações'!$E$2:$E1000,'Movimentações'!$C$2:$C1000,A368,'Movimentações'!$B$2:$B1000,"Entrada")-SUMIFS('Movimentações'!$E$2:$E1000,'Movimentações'!$C$2:$C1000,A368,'Movimentações'!$B$2:$B1000,"Saída"))</f>
        <v/>
      </c>
      <c r="F368" s="8" t="str">
        <f t="shared" si="2"/>
        <v/>
      </c>
      <c r="G368" s="8" t="str">
        <f t="shared" si="1"/>
        <v/>
      </c>
    </row>
    <row r="369" ht="15.75" customHeight="1">
      <c r="A369" s="8"/>
      <c r="B369" s="8"/>
      <c r="C369" s="8"/>
      <c r="D369" s="8"/>
      <c r="E369" s="8" t="str">
        <f>IF(A369="","",D369+SUMIFS('Movimentações'!$E$2:$E1000,'Movimentações'!$C$2:$C1000,A369,'Movimentações'!$B$2:$B1000,"Entrada")-SUMIFS('Movimentações'!$E$2:$E1000,'Movimentações'!$C$2:$C1000,A369,'Movimentações'!$B$2:$B1000,"Saída"))</f>
        <v/>
      </c>
      <c r="F369" s="8" t="str">
        <f t="shared" si="2"/>
        <v/>
      </c>
      <c r="G369" s="8" t="str">
        <f t="shared" si="1"/>
        <v/>
      </c>
    </row>
    <row r="370" ht="15.75" customHeight="1">
      <c r="A370" s="8"/>
      <c r="B370" s="8"/>
      <c r="C370" s="8"/>
      <c r="D370" s="8"/>
      <c r="E370" s="8" t="str">
        <f>IF(A370="","",D370+SUMIFS('Movimentações'!$E$2:$E1000,'Movimentações'!$C$2:$C1000,A370,'Movimentações'!$B$2:$B1000,"Entrada")-SUMIFS('Movimentações'!$E$2:$E1000,'Movimentações'!$C$2:$C1000,A370,'Movimentações'!$B$2:$B1000,"Saída"))</f>
        <v/>
      </c>
      <c r="F370" s="8" t="str">
        <f t="shared" si="2"/>
        <v/>
      </c>
      <c r="G370" s="8" t="str">
        <f t="shared" si="1"/>
        <v/>
      </c>
    </row>
    <row r="371" ht="15.75" customHeight="1">
      <c r="A371" s="8"/>
      <c r="B371" s="8"/>
      <c r="C371" s="8"/>
      <c r="D371" s="8"/>
      <c r="E371" s="8" t="str">
        <f>IF(A371="","",D371+SUMIFS('Movimentações'!$E$2:$E1000,'Movimentações'!$C$2:$C1000,A371,'Movimentações'!$B$2:$B1000,"Entrada")-SUMIFS('Movimentações'!$E$2:$E1000,'Movimentações'!$C$2:$C1000,A371,'Movimentações'!$B$2:$B1000,"Saída"))</f>
        <v/>
      </c>
      <c r="F371" s="8" t="str">
        <f t="shared" si="2"/>
        <v/>
      </c>
      <c r="G371" s="8" t="str">
        <f t="shared" si="1"/>
        <v/>
      </c>
    </row>
    <row r="372" ht="15.75" customHeight="1">
      <c r="A372" s="8"/>
      <c r="B372" s="8"/>
      <c r="C372" s="8"/>
      <c r="D372" s="8"/>
      <c r="E372" s="8" t="str">
        <f>IF(A372="","",D372+SUMIFS('Movimentações'!$E$2:$E1000,'Movimentações'!$C$2:$C1000,A372,'Movimentações'!$B$2:$B1000,"Entrada")-SUMIFS('Movimentações'!$E$2:$E1000,'Movimentações'!$C$2:$C1000,A372,'Movimentações'!$B$2:$B1000,"Saída"))</f>
        <v/>
      </c>
      <c r="F372" s="8" t="str">
        <f t="shared" si="2"/>
        <v/>
      </c>
      <c r="G372" s="8" t="str">
        <f t="shared" si="1"/>
        <v/>
      </c>
    </row>
    <row r="373" ht="15.75" customHeight="1">
      <c r="A373" s="8"/>
      <c r="B373" s="8"/>
      <c r="C373" s="8"/>
      <c r="D373" s="8"/>
      <c r="E373" s="8" t="str">
        <f>IF(A373="","",D373+SUMIFS('Movimentações'!$E$2:$E1000,'Movimentações'!$C$2:$C1000,A373,'Movimentações'!$B$2:$B1000,"Entrada")-SUMIFS('Movimentações'!$E$2:$E1000,'Movimentações'!$C$2:$C1000,A373,'Movimentações'!$B$2:$B1000,"Saída"))</f>
        <v/>
      </c>
      <c r="F373" s="8" t="str">
        <f t="shared" si="2"/>
        <v/>
      </c>
      <c r="G373" s="8" t="str">
        <f t="shared" si="1"/>
        <v/>
      </c>
    </row>
    <row r="374" ht="15.75" customHeight="1">
      <c r="A374" s="8"/>
      <c r="B374" s="8"/>
      <c r="C374" s="8"/>
      <c r="D374" s="8"/>
      <c r="E374" s="8" t="str">
        <f>IF(A374="","",D374+SUMIFS('Movimentações'!$E$2:$E1000,'Movimentações'!$C$2:$C1000,A374,'Movimentações'!$B$2:$B1000,"Entrada")-SUMIFS('Movimentações'!$E$2:$E1000,'Movimentações'!$C$2:$C1000,A374,'Movimentações'!$B$2:$B1000,"Saída"))</f>
        <v/>
      </c>
      <c r="F374" s="8" t="str">
        <f t="shared" si="2"/>
        <v/>
      </c>
      <c r="G374" s="8" t="str">
        <f t="shared" si="1"/>
        <v/>
      </c>
    </row>
    <row r="375" ht="15.75" customHeight="1">
      <c r="A375" s="8"/>
      <c r="B375" s="8"/>
      <c r="C375" s="8"/>
      <c r="D375" s="8"/>
      <c r="E375" s="8" t="str">
        <f>IF(A375="","",D375+SUMIFS('Movimentações'!$E$2:$E1000,'Movimentações'!$C$2:$C1000,A375,'Movimentações'!$B$2:$B1000,"Entrada")-SUMIFS('Movimentações'!$E$2:$E1000,'Movimentações'!$C$2:$C1000,A375,'Movimentações'!$B$2:$B1000,"Saída"))</f>
        <v/>
      </c>
      <c r="F375" s="8" t="str">
        <f t="shared" si="2"/>
        <v/>
      </c>
      <c r="G375" s="8" t="str">
        <f t="shared" si="1"/>
        <v/>
      </c>
    </row>
    <row r="376" ht="15.75" customHeight="1">
      <c r="A376" s="8"/>
      <c r="B376" s="8"/>
      <c r="C376" s="8"/>
      <c r="D376" s="8"/>
      <c r="E376" s="8" t="str">
        <f>IF(A376="","",D376+SUMIFS('Movimentações'!$E$2:$E1000,'Movimentações'!$C$2:$C1000,A376,'Movimentações'!$B$2:$B1000,"Entrada")-SUMIFS('Movimentações'!$E$2:$E1000,'Movimentações'!$C$2:$C1000,A376,'Movimentações'!$B$2:$B1000,"Saída"))</f>
        <v/>
      </c>
      <c r="F376" s="8" t="str">
        <f t="shared" si="2"/>
        <v/>
      </c>
      <c r="G376" s="8" t="str">
        <f t="shared" si="1"/>
        <v/>
      </c>
    </row>
    <row r="377" ht="15.75" customHeight="1">
      <c r="A377" s="8"/>
      <c r="B377" s="8"/>
      <c r="C377" s="8"/>
      <c r="D377" s="8"/>
      <c r="E377" s="8" t="str">
        <f>IF(A377="","",D377+SUMIFS('Movimentações'!$E$2:$E1000,'Movimentações'!$C$2:$C1000,A377,'Movimentações'!$B$2:$B1000,"Entrada")-SUMIFS('Movimentações'!$E$2:$E1000,'Movimentações'!$C$2:$C1000,A377,'Movimentações'!$B$2:$B1000,"Saída"))</f>
        <v/>
      </c>
      <c r="F377" s="8" t="str">
        <f t="shared" si="2"/>
        <v/>
      </c>
      <c r="G377" s="8" t="str">
        <f t="shared" si="1"/>
        <v/>
      </c>
    </row>
    <row r="378" ht="15.75" customHeight="1">
      <c r="A378" s="8"/>
      <c r="B378" s="8"/>
      <c r="C378" s="8"/>
      <c r="D378" s="8"/>
      <c r="E378" s="8" t="str">
        <f>IF(A378="","",D378+SUMIFS('Movimentações'!$E$2:$E1000,'Movimentações'!$C$2:$C1000,A378,'Movimentações'!$B$2:$B1000,"Entrada")-SUMIFS('Movimentações'!$E$2:$E1000,'Movimentações'!$C$2:$C1000,A378,'Movimentações'!$B$2:$B1000,"Saída"))</f>
        <v/>
      </c>
      <c r="F378" s="8" t="str">
        <f t="shared" si="2"/>
        <v/>
      </c>
      <c r="G378" s="8" t="str">
        <f t="shared" si="1"/>
        <v/>
      </c>
    </row>
    <row r="379" ht="15.75" customHeight="1">
      <c r="A379" s="8"/>
      <c r="B379" s="8"/>
      <c r="C379" s="8"/>
      <c r="D379" s="8"/>
      <c r="E379" s="8" t="str">
        <f>IF(A379="","",D379+SUMIFS('Movimentações'!$E$2:$E1000,'Movimentações'!$C$2:$C1000,A379,'Movimentações'!$B$2:$B1000,"Entrada")-SUMIFS('Movimentações'!$E$2:$E1000,'Movimentações'!$C$2:$C1000,A379,'Movimentações'!$B$2:$B1000,"Saída"))</f>
        <v/>
      </c>
      <c r="F379" s="8" t="str">
        <f t="shared" si="2"/>
        <v/>
      </c>
      <c r="G379" s="8" t="str">
        <f t="shared" si="1"/>
        <v/>
      </c>
    </row>
    <row r="380" ht="15.75" customHeight="1">
      <c r="A380" s="8"/>
      <c r="B380" s="8"/>
      <c r="C380" s="8"/>
      <c r="D380" s="8"/>
      <c r="E380" s="8" t="str">
        <f>IF(A380="","",D380+SUMIFS('Movimentações'!$E$2:$E1000,'Movimentações'!$C$2:$C1000,A380,'Movimentações'!$B$2:$B1000,"Entrada")-SUMIFS('Movimentações'!$E$2:$E1000,'Movimentações'!$C$2:$C1000,A380,'Movimentações'!$B$2:$B1000,"Saída"))</f>
        <v/>
      </c>
      <c r="F380" s="8" t="str">
        <f t="shared" si="2"/>
        <v/>
      </c>
      <c r="G380" s="8" t="str">
        <f t="shared" si="1"/>
        <v/>
      </c>
    </row>
    <row r="381" ht="15.75" customHeight="1">
      <c r="A381" s="8"/>
      <c r="B381" s="8"/>
      <c r="C381" s="8"/>
      <c r="D381" s="8"/>
      <c r="E381" s="8" t="str">
        <f>IF(A381="","",D381+SUMIFS('Movimentações'!$E$2:$E1000,'Movimentações'!$C$2:$C1000,A381,'Movimentações'!$B$2:$B1000,"Entrada")-SUMIFS('Movimentações'!$E$2:$E1000,'Movimentações'!$C$2:$C1000,A381,'Movimentações'!$B$2:$B1000,"Saída"))</f>
        <v/>
      </c>
      <c r="F381" s="8" t="str">
        <f t="shared" si="2"/>
        <v/>
      </c>
      <c r="G381" s="8" t="str">
        <f t="shared" si="1"/>
        <v/>
      </c>
    </row>
    <row r="382" ht="15.75" customHeight="1">
      <c r="A382" s="8"/>
      <c r="B382" s="8"/>
      <c r="C382" s="8"/>
      <c r="D382" s="8"/>
      <c r="E382" s="8" t="str">
        <f>IF(A382="","",D382+SUMIFS('Movimentações'!$E$2:$E1000,'Movimentações'!$C$2:$C1000,A382,'Movimentações'!$B$2:$B1000,"Entrada")-SUMIFS('Movimentações'!$E$2:$E1000,'Movimentações'!$C$2:$C1000,A382,'Movimentações'!$B$2:$B1000,"Saída"))</f>
        <v/>
      </c>
      <c r="F382" s="8" t="str">
        <f t="shared" si="2"/>
        <v/>
      </c>
      <c r="G382" s="8" t="str">
        <f t="shared" si="1"/>
        <v/>
      </c>
    </row>
    <row r="383" ht="15.75" customHeight="1">
      <c r="A383" s="8"/>
      <c r="B383" s="8"/>
      <c r="C383" s="8"/>
      <c r="D383" s="8"/>
      <c r="E383" s="8" t="str">
        <f>IF(A383="","",D383+SUMIFS('Movimentações'!$E$2:$E1000,'Movimentações'!$C$2:$C1000,A383,'Movimentações'!$B$2:$B1000,"Entrada")-SUMIFS('Movimentações'!$E$2:$E1000,'Movimentações'!$C$2:$C1000,A383,'Movimentações'!$B$2:$B1000,"Saída"))</f>
        <v/>
      </c>
      <c r="F383" s="8" t="str">
        <f t="shared" si="2"/>
        <v/>
      </c>
      <c r="G383" s="8" t="str">
        <f t="shared" si="1"/>
        <v/>
      </c>
    </row>
    <row r="384" ht="15.75" customHeight="1">
      <c r="A384" s="8"/>
      <c r="B384" s="8"/>
      <c r="C384" s="8"/>
      <c r="D384" s="8"/>
      <c r="E384" s="8" t="str">
        <f>IF(A384="","",D384+SUMIFS('Movimentações'!$E$2:$E1000,'Movimentações'!$C$2:$C1000,A384,'Movimentações'!$B$2:$B1000,"Entrada")-SUMIFS('Movimentações'!$E$2:$E1000,'Movimentações'!$C$2:$C1000,A384,'Movimentações'!$B$2:$B1000,"Saída"))</f>
        <v/>
      </c>
      <c r="F384" s="8" t="str">
        <f t="shared" si="2"/>
        <v/>
      </c>
      <c r="G384" s="8" t="str">
        <f t="shared" si="1"/>
        <v/>
      </c>
    </row>
    <row r="385" ht="15.75" customHeight="1">
      <c r="A385" s="8"/>
      <c r="B385" s="8"/>
      <c r="C385" s="8"/>
      <c r="D385" s="8"/>
      <c r="E385" s="8" t="str">
        <f>IF(A385="","",D385+SUMIFS('Movimentações'!$E$2:$E1000,'Movimentações'!$C$2:$C1000,A385,'Movimentações'!$B$2:$B1000,"Entrada")-SUMIFS('Movimentações'!$E$2:$E1000,'Movimentações'!$C$2:$C1000,A385,'Movimentações'!$B$2:$B1000,"Saída"))</f>
        <v/>
      </c>
      <c r="F385" s="8" t="str">
        <f t="shared" si="2"/>
        <v/>
      </c>
      <c r="G385" s="8" t="str">
        <f t="shared" si="1"/>
        <v/>
      </c>
    </row>
    <row r="386" ht="15.75" customHeight="1">
      <c r="A386" s="8"/>
      <c r="B386" s="8"/>
      <c r="C386" s="8"/>
      <c r="D386" s="8"/>
      <c r="E386" s="8" t="str">
        <f>IF(A386="","",D386+SUMIFS('Movimentações'!$E$2:$E1000,'Movimentações'!$C$2:$C1000,A386,'Movimentações'!$B$2:$B1000,"Entrada")-SUMIFS('Movimentações'!$E$2:$E1000,'Movimentações'!$C$2:$C1000,A386,'Movimentações'!$B$2:$B1000,"Saída"))</f>
        <v/>
      </c>
      <c r="F386" s="8" t="str">
        <f t="shared" si="2"/>
        <v/>
      </c>
      <c r="G386" s="8" t="str">
        <f t="shared" si="1"/>
        <v/>
      </c>
    </row>
    <row r="387" ht="15.75" customHeight="1">
      <c r="A387" s="8"/>
      <c r="B387" s="8"/>
      <c r="C387" s="8"/>
      <c r="D387" s="8"/>
      <c r="E387" s="8" t="str">
        <f>IF(A387="","",D387+SUMIFS('Movimentações'!$E$2:$E1000,'Movimentações'!$C$2:$C1000,A387,'Movimentações'!$B$2:$B1000,"Entrada")-SUMIFS('Movimentações'!$E$2:$E1000,'Movimentações'!$C$2:$C1000,A387,'Movimentações'!$B$2:$B1000,"Saída"))</f>
        <v/>
      </c>
      <c r="F387" s="8" t="str">
        <f t="shared" si="2"/>
        <v/>
      </c>
      <c r="G387" s="8" t="str">
        <f t="shared" si="1"/>
        <v/>
      </c>
    </row>
    <row r="388" ht="15.75" customHeight="1">
      <c r="A388" s="8"/>
      <c r="B388" s="8"/>
      <c r="C388" s="8"/>
      <c r="D388" s="8"/>
      <c r="E388" s="8" t="str">
        <f>IF(A388="","",D388+SUMIFS('Movimentações'!$E$2:$E1000,'Movimentações'!$C$2:$C1000,A388,'Movimentações'!$B$2:$B1000,"Entrada")-SUMIFS('Movimentações'!$E$2:$E1000,'Movimentações'!$C$2:$C1000,A388,'Movimentações'!$B$2:$B1000,"Saída"))</f>
        <v/>
      </c>
      <c r="F388" s="8" t="str">
        <f t="shared" si="2"/>
        <v/>
      </c>
      <c r="G388" s="8" t="str">
        <f t="shared" si="1"/>
        <v/>
      </c>
    </row>
    <row r="389" ht="15.75" customHeight="1">
      <c r="A389" s="8"/>
      <c r="B389" s="8"/>
      <c r="C389" s="8"/>
      <c r="D389" s="8"/>
      <c r="E389" s="8" t="str">
        <f>IF(A389="","",D389+SUMIFS('Movimentações'!$E$2:$E1000,'Movimentações'!$C$2:$C1000,A389,'Movimentações'!$B$2:$B1000,"Entrada")-SUMIFS('Movimentações'!$E$2:$E1000,'Movimentações'!$C$2:$C1000,A389,'Movimentações'!$B$2:$B1000,"Saída"))</f>
        <v/>
      </c>
      <c r="F389" s="8" t="str">
        <f t="shared" si="2"/>
        <v/>
      </c>
      <c r="G389" s="8" t="str">
        <f t="shared" si="1"/>
        <v/>
      </c>
    </row>
    <row r="390" ht="15.75" customHeight="1">
      <c r="A390" s="8"/>
      <c r="B390" s="8"/>
      <c r="C390" s="8"/>
      <c r="D390" s="8"/>
      <c r="E390" s="8" t="str">
        <f>IF(A390="","",D390+SUMIFS('Movimentações'!$E$2:$E1000,'Movimentações'!$C$2:$C1000,A390,'Movimentações'!$B$2:$B1000,"Entrada")-SUMIFS('Movimentações'!$E$2:$E1000,'Movimentações'!$C$2:$C1000,A390,'Movimentações'!$B$2:$B1000,"Saída"))</f>
        <v/>
      </c>
      <c r="F390" s="8" t="str">
        <f t="shared" si="2"/>
        <v/>
      </c>
      <c r="G390" s="8" t="str">
        <f t="shared" si="1"/>
        <v/>
      </c>
    </row>
    <row r="391" ht="15.75" customHeight="1">
      <c r="A391" s="8"/>
      <c r="B391" s="8"/>
      <c r="C391" s="8"/>
      <c r="D391" s="8"/>
      <c r="E391" s="8" t="str">
        <f>IF(A391="","",D391+SUMIFS('Movimentações'!$E$2:$E1000,'Movimentações'!$C$2:$C1000,A391,'Movimentações'!$B$2:$B1000,"Entrada")-SUMIFS('Movimentações'!$E$2:$E1000,'Movimentações'!$C$2:$C1000,A391,'Movimentações'!$B$2:$B1000,"Saída"))</f>
        <v/>
      </c>
      <c r="F391" s="8" t="str">
        <f t="shared" si="2"/>
        <v/>
      </c>
      <c r="G391" s="8" t="str">
        <f t="shared" si="1"/>
        <v/>
      </c>
    </row>
    <row r="392" ht="15.75" customHeight="1">
      <c r="A392" s="8"/>
      <c r="B392" s="8"/>
      <c r="C392" s="8"/>
      <c r="D392" s="8"/>
      <c r="E392" s="8" t="str">
        <f>IF(A392="","",D392+SUMIFS('Movimentações'!$E$2:$E1000,'Movimentações'!$C$2:$C1000,A392,'Movimentações'!$B$2:$B1000,"Entrada")-SUMIFS('Movimentações'!$E$2:$E1000,'Movimentações'!$C$2:$C1000,A392,'Movimentações'!$B$2:$B1000,"Saída"))</f>
        <v/>
      </c>
      <c r="F392" s="8" t="str">
        <f t="shared" si="2"/>
        <v/>
      </c>
      <c r="G392" s="8" t="str">
        <f t="shared" si="1"/>
        <v/>
      </c>
    </row>
    <row r="393" ht="15.75" customHeight="1">
      <c r="A393" s="8"/>
      <c r="B393" s="8"/>
      <c r="C393" s="8"/>
      <c r="D393" s="8"/>
      <c r="E393" s="8" t="str">
        <f>IF(A393="","",D393+SUMIFS('Movimentações'!$E$2:$E1000,'Movimentações'!$C$2:$C1000,A393,'Movimentações'!$B$2:$B1000,"Entrada")-SUMIFS('Movimentações'!$E$2:$E1000,'Movimentações'!$C$2:$C1000,A393,'Movimentações'!$B$2:$B1000,"Saída"))</f>
        <v/>
      </c>
      <c r="F393" s="8" t="str">
        <f t="shared" si="2"/>
        <v/>
      </c>
      <c r="G393" s="8" t="str">
        <f t="shared" si="1"/>
        <v/>
      </c>
    </row>
    <row r="394" ht="15.75" customHeight="1">
      <c r="A394" s="8"/>
      <c r="B394" s="8"/>
      <c r="C394" s="8"/>
      <c r="D394" s="8"/>
      <c r="E394" s="8" t="str">
        <f>IF(A394="","",D394+SUMIFS('Movimentações'!$E$2:$E1000,'Movimentações'!$C$2:$C1000,A394,'Movimentações'!$B$2:$B1000,"Entrada")-SUMIFS('Movimentações'!$E$2:$E1000,'Movimentações'!$C$2:$C1000,A394,'Movimentações'!$B$2:$B1000,"Saída"))</f>
        <v/>
      </c>
      <c r="F394" s="8" t="str">
        <f t="shared" si="2"/>
        <v/>
      </c>
      <c r="G394" s="8" t="str">
        <f t="shared" si="1"/>
        <v/>
      </c>
    </row>
    <row r="395" ht="15.75" customHeight="1">
      <c r="A395" s="8"/>
      <c r="B395" s="8"/>
      <c r="C395" s="8"/>
      <c r="D395" s="8"/>
      <c r="E395" s="8" t="str">
        <f>IF(A395="","",D395+SUMIFS('Movimentações'!$E$2:$E1000,'Movimentações'!$C$2:$C1000,A395,'Movimentações'!$B$2:$B1000,"Entrada")-SUMIFS('Movimentações'!$E$2:$E1000,'Movimentações'!$C$2:$C1000,A395,'Movimentações'!$B$2:$B1000,"Saída"))</f>
        <v/>
      </c>
      <c r="F395" s="8" t="str">
        <f t="shared" si="2"/>
        <v/>
      </c>
      <c r="G395" s="8" t="str">
        <f t="shared" si="1"/>
        <v/>
      </c>
    </row>
    <row r="396" ht="15.75" customHeight="1">
      <c r="A396" s="8"/>
      <c r="B396" s="8"/>
      <c r="C396" s="8"/>
      <c r="D396" s="8"/>
      <c r="E396" s="8" t="str">
        <f>IF(A396="","",D396+SUMIFS('Movimentações'!$E$2:$E1000,'Movimentações'!$C$2:$C1000,A396,'Movimentações'!$B$2:$B1000,"Entrada")-SUMIFS('Movimentações'!$E$2:$E1000,'Movimentações'!$C$2:$C1000,A396,'Movimentações'!$B$2:$B1000,"Saída"))</f>
        <v/>
      </c>
      <c r="F396" s="8" t="str">
        <f t="shared" si="2"/>
        <v/>
      </c>
      <c r="G396" s="8" t="str">
        <f t="shared" si="1"/>
        <v/>
      </c>
    </row>
    <row r="397" ht="15.75" customHeight="1">
      <c r="A397" s="8"/>
      <c r="B397" s="8"/>
      <c r="C397" s="8"/>
      <c r="D397" s="8"/>
      <c r="E397" s="8" t="str">
        <f>IF(A397="","",D397+SUMIFS('Movimentações'!$E$2:$E1000,'Movimentações'!$C$2:$C1000,A397,'Movimentações'!$B$2:$B1000,"Entrada")-SUMIFS('Movimentações'!$E$2:$E1000,'Movimentações'!$C$2:$C1000,A397,'Movimentações'!$B$2:$B1000,"Saída"))</f>
        <v/>
      </c>
      <c r="F397" s="8" t="str">
        <f t="shared" si="2"/>
        <v/>
      </c>
      <c r="G397" s="8" t="str">
        <f t="shared" si="1"/>
        <v/>
      </c>
    </row>
    <row r="398" ht="15.75" customHeight="1">
      <c r="A398" s="8"/>
      <c r="B398" s="8"/>
      <c r="C398" s="8"/>
      <c r="D398" s="8"/>
      <c r="E398" s="8" t="str">
        <f>IF(A398="","",D398+SUMIFS('Movimentações'!$E$2:$E1000,'Movimentações'!$C$2:$C1000,A398,'Movimentações'!$B$2:$B1000,"Entrada")-SUMIFS('Movimentações'!$E$2:$E1000,'Movimentações'!$C$2:$C1000,A398,'Movimentações'!$B$2:$B1000,"Saída"))</f>
        <v/>
      </c>
      <c r="F398" s="8" t="str">
        <f t="shared" si="2"/>
        <v/>
      </c>
      <c r="G398" s="8" t="str">
        <f t="shared" si="1"/>
        <v/>
      </c>
    </row>
    <row r="399" ht="15.75" customHeight="1">
      <c r="A399" s="8"/>
      <c r="B399" s="8"/>
      <c r="C399" s="8"/>
      <c r="D399" s="8"/>
      <c r="E399" s="8" t="str">
        <f>IF(A399="","",D399+SUMIFS('Movimentações'!$E$2:$E1000,'Movimentações'!$C$2:$C1000,A399,'Movimentações'!$B$2:$B1000,"Entrada")-SUMIFS('Movimentações'!$E$2:$E1000,'Movimentações'!$C$2:$C1000,A399,'Movimentações'!$B$2:$B1000,"Saída"))</f>
        <v/>
      </c>
      <c r="F399" s="8" t="str">
        <f t="shared" si="2"/>
        <v/>
      </c>
      <c r="G399" s="8" t="str">
        <f t="shared" si="1"/>
        <v/>
      </c>
    </row>
    <row r="400" ht="15.75" customHeight="1">
      <c r="A400" s="8"/>
      <c r="B400" s="8"/>
      <c r="C400" s="8"/>
      <c r="D400" s="8"/>
      <c r="E400" s="8" t="str">
        <f>IF(A400="","",D400+SUMIFS('Movimentações'!$E$2:$E1000,'Movimentações'!$C$2:$C1000,A400,'Movimentações'!$B$2:$B1000,"Entrada")-SUMIFS('Movimentações'!$E$2:$E1000,'Movimentações'!$C$2:$C1000,A400,'Movimentações'!$B$2:$B1000,"Saída"))</f>
        <v/>
      </c>
      <c r="F400" s="8" t="str">
        <f t="shared" si="2"/>
        <v/>
      </c>
      <c r="G400" s="8" t="str">
        <f t="shared" si="1"/>
        <v/>
      </c>
    </row>
    <row r="401" ht="15.75" customHeight="1">
      <c r="A401" s="8"/>
      <c r="B401" s="8"/>
      <c r="C401" s="8"/>
      <c r="D401" s="8"/>
      <c r="E401" s="8" t="str">
        <f>IF(A401="","",D401+SUMIFS('Movimentações'!$E$2:$E1000,'Movimentações'!$C$2:$C1000,A401,'Movimentações'!$B$2:$B1000,"Entrada")-SUMIFS('Movimentações'!$E$2:$E1000,'Movimentações'!$C$2:$C1000,A401,'Movimentações'!$B$2:$B1000,"Saída"))</f>
        <v/>
      </c>
      <c r="F401" s="8" t="str">
        <f t="shared" si="2"/>
        <v/>
      </c>
      <c r="G401" s="8" t="str">
        <f t="shared" si="1"/>
        <v/>
      </c>
    </row>
    <row r="402" ht="15.75" customHeight="1">
      <c r="A402" s="8"/>
      <c r="B402" s="8"/>
      <c r="C402" s="8"/>
      <c r="D402" s="8"/>
      <c r="E402" s="8" t="str">
        <f>IF(A402="","",D402+SUMIFS('Movimentações'!$E$2:$E1000,'Movimentações'!$C$2:$C1000,A402,'Movimentações'!$B$2:$B1000,"Entrada")-SUMIFS('Movimentações'!$E$2:$E1000,'Movimentações'!$C$2:$C1000,A402,'Movimentações'!$B$2:$B1000,"Saída"))</f>
        <v/>
      </c>
      <c r="F402" s="8" t="str">
        <f t="shared" si="2"/>
        <v/>
      </c>
      <c r="G402" s="8" t="str">
        <f t="shared" si="1"/>
        <v/>
      </c>
    </row>
    <row r="403" ht="15.75" customHeight="1">
      <c r="A403" s="8"/>
      <c r="B403" s="8"/>
      <c r="C403" s="8"/>
      <c r="D403" s="8"/>
      <c r="E403" s="8" t="str">
        <f>IF(A403="","",D403+SUMIFS('Movimentações'!$E$2:$E1000,'Movimentações'!$C$2:$C1000,A403,'Movimentações'!$B$2:$B1000,"Entrada")-SUMIFS('Movimentações'!$E$2:$E1000,'Movimentações'!$C$2:$C1000,A403,'Movimentações'!$B$2:$B1000,"Saída"))</f>
        <v/>
      </c>
      <c r="F403" s="8" t="str">
        <f t="shared" si="2"/>
        <v/>
      </c>
      <c r="G403" s="8" t="str">
        <f t="shared" si="1"/>
        <v/>
      </c>
    </row>
    <row r="404" ht="15.75" customHeight="1">
      <c r="A404" s="8"/>
      <c r="B404" s="8"/>
      <c r="C404" s="8"/>
      <c r="D404" s="8"/>
      <c r="E404" s="8" t="str">
        <f>IF(A404="","",D404+SUMIFS('Movimentações'!$E$2:$E1000,'Movimentações'!$C$2:$C1000,A404,'Movimentações'!$B$2:$B1000,"Entrada")-SUMIFS('Movimentações'!$E$2:$E1000,'Movimentações'!$C$2:$C1000,A404,'Movimentações'!$B$2:$B1000,"Saída"))</f>
        <v/>
      </c>
      <c r="F404" s="8" t="str">
        <f t="shared" si="2"/>
        <v/>
      </c>
      <c r="G404" s="8" t="str">
        <f t="shared" si="1"/>
        <v/>
      </c>
    </row>
    <row r="405" ht="15.75" customHeight="1">
      <c r="A405" s="8"/>
      <c r="B405" s="8"/>
      <c r="C405" s="8"/>
      <c r="D405" s="8"/>
      <c r="E405" s="8" t="str">
        <f>IF(A405="","",D405+SUMIFS('Movimentações'!$E$2:$E1000,'Movimentações'!$C$2:$C1000,A405,'Movimentações'!$B$2:$B1000,"Entrada")-SUMIFS('Movimentações'!$E$2:$E1000,'Movimentações'!$C$2:$C1000,A405,'Movimentações'!$B$2:$B1000,"Saída"))</f>
        <v/>
      </c>
      <c r="F405" s="8" t="str">
        <f t="shared" si="2"/>
        <v/>
      </c>
      <c r="G405" s="8" t="str">
        <f t="shared" si="1"/>
        <v/>
      </c>
    </row>
    <row r="406" ht="15.75" customHeight="1">
      <c r="A406" s="8"/>
      <c r="B406" s="8"/>
      <c r="C406" s="8"/>
      <c r="D406" s="8"/>
      <c r="E406" s="8" t="str">
        <f>IF(A406="","",D406+SUMIFS('Movimentações'!$E$2:$E1000,'Movimentações'!$C$2:$C1000,A406,'Movimentações'!$B$2:$B1000,"Entrada")-SUMIFS('Movimentações'!$E$2:$E1000,'Movimentações'!$C$2:$C1000,A406,'Movimentações'!$B$2:$B1000,"Saída"))</f>
        <v/>
      </c>
      <c r="F406" s="8" t="str">
        <f t="shared" si="2"/>
        <v/>
      </c>
      <c r="G406" s="8" t="str">
        <f t="shared" si="1"/>
        <v/>
      </c>
    </row>
    <row r="407" ht="15.75" customHeight="1">
      <c r="A407" s="8"/>
      <c r="B407" s="8"/>
      <c r="C407" s="8"/>
      <c r="D407" s="8"/>
      <c r="E407" s="8" t="str">
        <f>IF(A407="","",D407+SUMIFS('Movimentações'!$E$2:$E1000,'Movimentações'!$C$2:$C1000,A407,'Movimentações'!$B$2:$B1000,"Entrada")-SUMIFS('Movimentações'!$E$2:$E1000,'Movimentações'!$C$2:$C1000,A407,'Movimentações'!$B$2:$B1000,"Saída"))</f>
        <v/>
      </c>
      <c r="F407" s="8" t="str">
        <f t="shared" si="2"/>
        <v/>
      </c>
      <c r="G407" s="8" t="str">
        <f t="shared" si="1"/>
        <v/>
      </c>
    </row>
    <row r="408" ht="15.75" customHeight="1">
      <c r="A408" s="8"/>
      <c r="B408" s="8"/>
      <c r="C408" s="8"/>
      <c r="D408" s="8"/>
      <c r="E408" s="8" t="str">
        <f>IF(A408="","",D408+SUMIFS('Movimentações'!$E$2:$E1000,'Movimentações'!$C$2:$C1000,A408,'Movimentações'!$B$2:$B1000,"Entrada")-SUMIFS('Movimentações'!$E$2:$E1000,'Movimentações'!$C$2:$C1000,A408,'Movimentações'!$B$2:$B1000,"Saída"))</f>
        <v/>
      </c>
      <c r="F408" s="8" t="str">
        <f t="shared" si="2"/>
        <v/>
      </c>
      <c r="G408" s="8" t="str">
        <f t="shared" si="1"/>
        <v/>
      </c>
    </row>
    <row r="409" ht="15.75" customHeight="1">
      <c r="A409" s="8"/>
      <c r="B409" s="8"/>
      <c r="C409" s="8"/>
      <c r="D409" s="8"/>
      <c r="E409" s="8" t="str">
        <f>IF(A409="","",D409+SUMIFS('Movimentações'!$E$2:$E1000,'Movimentações'!$C$2:$C1000,A409,'Movimentações'!$B$2:$B1000,"Entrada")-SUMIFS('Movimentações'!$E$2:$E1000,'Movimentações'!$C$2:$C1000,A409,'Movimentações'!$B$2:$B1000,"Saída"))</f>
        <v/>
      </c>
      <c r="F409" s="8" t="str">
        <f t="shared" si="2"/>
        <v/>
      </c>
      <c r="G409" s="8" t="str">
        <f t="shared" si="1"/>
        <v/>
      </c>
    </row>
    <row r="410" ht="15.75" customHeight="1">
      <c r="A410" s="8"/>
      <c r="B410" s="8"/>
      <c r="C410" s="8"/>
      <c r="D410" s="8"/>
      <c r="E410" s="8" t="str">
        <f>IF(A410="","",D410+SUMIFS('Movimentações'!$E$2:$E1000,'Movimentações'!$C$2:$C1000,A410,'Movimentações'!$B$2:$B1000,"Entrada")-SUMIFS('Movimentações'!$E$2:$E1000,'Movimentações'!$C$2:$C1000,A410,'Movimentações'!$B$2:$B1000,"Saída"))</f>
        <v/>
      </c>
      <c r="F410" s="8" t="str">
        <f t="shared" si="2"/>
        <v/>
      </c>
      <c r="G410" s="8" t="str">
        <f t="shared" si="1"/>
        <v/>
      </c>
    </row>
    <row r="411" ht="15.75" customHeight="1">
      <c r="A411" s="8"/>
      <c r="B411" s="8"/>
      <c r="C411" s="8"/>
      <c r="D411" s="8"/>
      <c r="E411" s="8" t="str">
        <f>IF(A411="","",D411+SUMIFS('Movimentações'!$E$2:$E1000,'Movimentações'!$C$2:$C1000,A411,'Movimentações'!$B$2:$B1000,"Entrada")-SUMIFS('Movimentações'!$E$2:$E1000,'Movimentações'!$C$2:$C1000,A411,'Movimentações'!$B$2:$B1000,"Saída"))</f>
        <v/>
      </c>
      <c r="F411" s="8" t="str">
        <f t="shared" si="2"/>
        <v/>
      </c>
      <c r="G411" s="8" t="str">
        <f t="shared" si="1"/>
        <v/>
      </c>
    </row>
    <row r="412" ht="15.75" customHeight="1">
      <c r="A412" s="8"/>
      <c r="B412" s="8"/>
      <c r="C412" s="8"/>
      <c r="D412" s="8"/>
      <c r="E412" s="8" t="str">
        <f>IF(A412="","",D412+SUMIFS('Movimentações'!$E$2:$E1000,'Movimentações'!$C$2:$C1000,A412,'Movimentações'!$B$2:$B1000,"Entrada")-SUMIFS('Movimentações'!$E$2:$E1000,'Movimentações'!$C$2:$C1000,A412,'Movimentações'!$B$2:$B1000,"Saída"))</f>
        <v/>
      </c>
      <c r="F412" s="8" t="str">
        <f t="shared" si="2"/>
        <v/>
      </c>
      <c r="G412" s="8" t="str">
        <f t="shared" si="1"/>
        <v/>
      </c>
    </row>
    <row r="413" ht="15.75" customHeight="1">
      <c r="A413" s="8"/>
      <c r="B413" s="8"/>
      <c r="C413" s="8"/>
      <c r="D413" s="8"/>
      <c r="E413" s="8" t="str">
        <f>IF(A413="","",D413+SUMIFS('Movimentações'!$E$2:$E1000,'Movimentações'!$C$2:$C1000,A413,'Movimentações'!$B$2:$B1000,"Entrada")-SUMIFS('Movimentações'!$E$2:$E1000,'Movimentações'!$C$2:$C1000,A413,'Movimentações'!$B$2:$B1000,"Saída"))</f>
        <v/>
      </c>
      <c r="F413" s="8" t="str">
        <f t="shared" si="2"/>
        <v/>
      </c>
      <c r="G413" s="8" t="str">
        <f t="shared" si="1"/>
        <v/>
      </c>
    </row>
    <row r="414" ht="15.75" customHeight="1">
      <c r="A414" s="8"/>
      <c r="B414" s="8"/>
      <c r="C414" s="8"/>
      <c r="D414" s="8"/>
      <c r="E414" s="8" t="str">
        <f>IF(A414="","",D414+SUMIFS('Movimentações'!$E$2:$E1000,'Movimentações'!$C$2:$C1000,A414,'Movimentações'!$B$2:$B1000,"Entrada")-SUMIFS('Movimentações'!$E$2:$E1000,'Movimentações'!$C$2:$C1000,A414,'Movimentações'!$B$2:$B1000,"Saída"))</f>
        <v/>
      </c>
      <c r="F414" s="8" t="str">
        <f t="shared" si="2"/>
        <v/>
      </c>
      <c r="G414" s="8" t="str">
        <f t="shared" si="1"/>
        <v/>
      </c>
    </row>
    <row r="415" ht="15.75" customHeight="1">
      <c r="A415" s="8"/>
      <c r="B415" s="8"/>
      <c r="C415" s="8"/>
      <c r="D415" s="8"/>
      <c r="E415" s="8" t="str">
        <f>IF(A415="","",D415+SUMIFS('Movimentações'!$E$2:$E1000,'Movimentações'!$C$2:$C1000,A415,'Movimentações'!$B$2:$B1000,"Entrada")-SUMIFS('Movimentações'!$E$2:$E1000,'Movimentações'!$C$2:$C1000,A415,'Movimentações'!$B$2:$B1000,"Saída"))</f>
        <v/>
      </c>
      <c r="F415" s="8" t="str">
        <f t="shared" si="2"/>
        <v/>
      </c>
      <c r="G415" s="8" t="str">
        <f t="shared" si="1"/>
        <v/>
      </c>
    </row>
    <row r="416" ht="15.75" customHeight="1">
      <c r="A416" s="8"/>
      <c r="B416" s="8"/>
      <c r="C416" s="8"/>
      <c r="D416" s="8"/>
      <c r="E416" s="8" t="str">
        <f>IF(A416="","",D416+SUMIFS('Movimentações'!$E$2:$E1000,'Movimentações'!$C$2:$C1000,A416,'Movimentações'!$B$2:$B1000,"Entrada")-SUMIFS('Movimentações'!$E$2:$E1000,'Movimentações'!$C$2:$C1000,A416,'Movimentações'!$B$2:$B1000,"Saída"))</f>
        <v/>
      </c>
      <c r="F416" s="8" t="str">
        <f t="shared" si="2"/>
        <v/>
      </c>
      <c r="G416" s="8" t="str">
        <f t="shared" si="1"/>
        <v/>
      </c>
    </row>
    <row r="417" ht="15.75" customHeight="1">
      <c r="A417" s="8"/>
      <c r="B417" s="8"/>
      <c r="C417" s="8"/>
      <c r="D417" s="8"/>
      <c r="E417" s="8" t="str">
        <f>IF(A417="","",D417+SUMIFS('Movimentações'!$E$2:$E1000,'Movimentações'!$C$2:$C1000,A417,'Movimentações'!$B$2:$B1000,"Entrada")-SUMIFS('Movimentações'!$E$2:$E1000,'Movimentações'!$C$2:$C1000,A417,'Movimentações'!$B$2:$B1000,"Saída"))</f>
        <v/>
      </c>
      <c r="F417" s="8" t="str">
        <f t="shared" si="2"/>
        <v/>
      </c>
      <c r="G417" s="8" t="str">
        <f t="shared" si="1"/>
        <v/>
      </c>
    </row>
    <row r="418" ht="15.75" customHeight="1">
      <c r="A418" s="8"/>
      <c r="B418" s="8"/>
      <c r="C418" s="8"/>
      <c r="D418" s="8"/>
      <c r="E418" s="8" t="str">
        <f>IF(A418="","",D418+SUMIFS('Movimentações'!$E$2:$E1000,'Movimentações'!$C$2:$C1000,A418,'Movimentações'!$B$2:$B1000,"Entrada")-SUMIFS('Movimentações'!$E$2:$E1000,'Movimentações'!$C$2:$C1000,A418,'Movimentações'!$B$2:$B1000,"Saída"))</f>
        <v/>
      </c>
      <c r="F418" s="8" t="str">
        <f t="shared" si="2"/>
        <v/>
      </c>
      <c r="G418" s="8" t="str">
        <f t="shared" si="1"/>
        <v/>
      </c>
    </row>
    <row r="419" ht="15.75" customHeight="1">
      <c r="A419" s="8"/>
      <c r="B419" s="8"/>
      <c r="C419" s="8"/>
      <c r="D419" s="8"/>
      <c r="E419" s="8" t="str">
        <f>IF(A419="","",D419+SUMIFS('Movimentações'!$E$2:$E1000,'Movimentações'!$C$2:$C1000,A419,'Movimentações'!$B$2:$B1000,"Entrada")-SUMIFS('Movimentações'!$E$2:$E1000,'Movimentações'!$C$2:$C1000,A419,'Movimentações'!$B$2:$B1000,"Saída"))</f>
        <v/>
      </c>
      <c r="F419" s="8" t="str">
        <f t="shared" si="2"/>
        <v/>
      </c>
      <c r="G419" s="8" t="str">
        <f t="shared" si="1"/>
        <v/>
      </c>
    </row>
    <row r="420" ht="15.75" customHeight="1">
      <c r="A420" s="8"/>
      <c r="B420" s="8"/>
      <c r="C420" s="8"/>
      <c r="D420" s="8"/>
      <c r="E420" s="8" t="str">
        <f>IF(A420="","",D420+SUMIFS('Movimentações'!$E$2:$E1000,'Movimentações'!$C$2:$C1000,A420,'Movimentações'!$B$2:$B1000,"Entrada")-SUMIFS('Movimentações'!$E$2:$E1000,'Movimentações'!$C$2:$C1000,A420,'Movimentações'!$B$2:$B1000,"Saída"))</f>
        <v/>
      </c>
      <c r="F420" s="8" t="str">
        <f t="shared" si="2"/>
        <v/>
      </c>
      <c r="G420" s="8" t="str">
        <f t="shared" si="1"/>
        <v/>
      </c>
    </row>
    <row r="421" ht="15.75" customHeight="1">
      <c r="A421" s="8"/>
      <c r="B421" s="8"/>
      <c r="C421" s="8"/>
      <c r="D421" s="8"/>
      <c r="E421" s="8" t="str">
        <f>IF(A421="","",D421+SUMIFS('Movimentações'!$E$2:$E1000,'Movimentações'!$C$2:$C1000,A421,'Movimentações'!$B$2:$B1000,"Entrada")-SUMIFS('Movimentações'!$E$2:$E1000,'Movimentações'!$C$2:$C1000,A421,'Movimentações'!$B$2:$B1000,"Saída"))</f>
        <v/>
      </c>
      <c r="F421" s="8" t="str">
        <f t="shared" si="2"/>
        <v/>
      </c>
      <c r="G421" s="8" t="str">
        <f t="shared" si="1"/>
        <v/>
      </c>
    </row>
    <row r="422" ht="15.75" customHeight="1">
      <c r="A422" s="8"/>
      <c r="B422" s="8"/>
      <c r="C422" s="8"/>
      <c r="D422" s="8"/>
      <c r="E422" s="8" t="str">
        <f>IF(A422="","",D422+SUMIFS('Movimentações'!$E$2:$E1000,'Movimentações'!$C$2:$C1000,A422,'Movimentações'!$B$2:$B1000,"Entrada")-SUMIFS('Movimentações'!$E$2:$E1000,'Movimentações'!$C$2:$C1000,A422,'Movimentações'!$B$2:$B1000,"Saída"))</f>
        <v/>
      </c>
      <c r="F422" s="8" t="str">
        <f t="shared" si="2"/>
        <v/>
      </c>
      <c r="G422" s="8" t="str">
        <f t="shared" si="1"/>
        <v/>
      </c>
    </row>
    <row r="423" ht="15.75" customHeight="1">
      <c r="A423" s="8"/>
      <c r="B423" s="8"/>
      <c r="C423" s="8"/>
      <c r="D423" s="8"/>
      <c r="E423" s="8" t="str">
        <f>IF(A423="","",D423+SUMIFS('Movimentações'!$E$2:$E1000,'Movimentações'!$C$2:$C1000,A423,'Movimentações'!$B$2:$B1000,"Entrada")-SUMIFS('Movimentações'!$E$2:$E1000,'Movimentações'!$C$2:$C1000,A423,'Movimentações'!$B$2:$B1000,"Saída"))</f>
        <v/>
      </c>
      <c r="F423" s="8" t="str">
        <f t="shared" si="2"/>
        <v/>
      </c>
      <c r="G423" s="8" t="str">
        <f t="shared" si="1"/>
        <v/>
      </c>
    </row>
    <row r="424" ht="15.75" customHeight="1">
      <c r="A424" s="8"/>
      <c r="B424" s="8"/>
      <c r="C424" s="8"/>
      <c r="D424" s="8"/>
      <c r="E424" s="8" t="str">
        <f>IF(A424="","",D424+SUMIFS('Movimentações'!$E$2:$E1000,'Movimentações'!$C$2:$C1000,A424,'Movimentações'!$B$2:$B1000,"Entrada")-SUMIFS('Movimentações'!$E$2:$E1000,'Movimentações'!$C$2:$C1000,A424,'Movimentações'!$B$2:$B1000,"Saída"))</f>
        <v/>
      </c>
      <c r="F424" s="8" t="str">
        <f t="shared" si="2"/>
        <v/>
      </c>
      <c r="G424" s="8" t="str">
        <f t="shared" si="1"/>
        <v/>
      </c>
    </row>
    <row r="425" ht="15.75" customHeight="1">
      <c r="A425" s="8"/>
      <c r="B425" s="8"/>
      <c r="C425" s="8"/>
      <c r="D425" s="8"/>
      <c r="E425" s="8" t="str">
        <f>IF(A425="","",D425+SUMIFS('Movimentações'!$E$2:$E1000,'Movimentações'!$C$2:$C1000,A425,'Movimentações'!$B$2:$B1000,"Entrada")-SUMIFS('Movimentações'!$E$2:$E1000,'Movimentações'!$C$2:$C1000,A425,'Movimentações'!$B$2:$B1000,"Saída"))</f>
        <v/>
      </c>
      <c r="F425" s="8" t="str">
        <f t="shared" si="2"/>
        <v/>
      </c>
      <c r="G425" s="8" t="str">
        <f t="shared" si="1"/>
        <v/>
      </c>
    </row>
    <row r="426" ht="15.75" customHeight="1">
      <c r="A426" s="8"/>
      <c r="B426" s="8"/>
      <c r="C426" s="8"/>
      <c r="D426" s="8"/>
      <c r="E426" s="8" t="str">
        <f>IF(A426="","",D426+SUMIFS('Movimentações'!$E$2:$E1000,'Movimentações'!$C$2:$C1000,A426,'Movimentações'!$B$2:$B1000,"Entrada")-SUMIFS('Movimentações'!$E$2:$E1000,'Movimentações'!$C$2:$C1000,A426,'Movimentações'!$B$2:$B1000,"Saída"))</f>
        <v/>
      </c>
      <c r="F426" s="8" t="str">
        <f t="shared" si="2"/>
        <v/>
      </c>
      <c r="G426" s="8" t="str">
        <f t="shared" si="1"/>
        <v/>
      </c>
    </row>
    <row r="427" ht="15.75" customHeight="1">
      <c r="A427" s="8"/>
      <c r="B427" s="8"/>
      <c r="C427" s="8"/>
      <c r="D427" s="8"/>
      <c r="E427" s="8" t="str">
        <f>IF(A427="","",D427+SUMIFS('Movimentações'!$E$2:$E1000,'Movimentações'!$C$2:$C1000,A427,'Movimentações'!$B$2:$B1000,"Entrada")-SUMIFS('Movimentações'!$E$2:$E1000,'Movimentações'!$C$2:$C1000,A427,'Movimentações'!$B$2:$B1000,"Saída"))</f>
        <v/>
      </c>
      <c r="F427" s="8" t="str">
        <f t="shared" si="2"/>
        <v/>
      </c>
      <c r="G427" s="8" t="str">
        <f t="shared" si="1"/>
        <v/>
      </c>
    </row>
    <row r="428" ht="15.75" customHeight="1">
      <c r="A428" s="8"/>
      <c r="B428" s="8"/>
      <c r="C428" s="8"/>
      <c r="D428" s="8"/>
      <c r="E428" s="8" t="str">
        <f>IF(A428="","",D428+SUMIFS('Movimentações'!$E$2:$E1000,'Movimentações'!$C$2:$C1000,A428,'Movimentações'!$B$2:$B1000,"Entrada")-SUMIFS('Movimentações'!$E$2:$E1000,'Movimentações'!$C$2:$C1000,A428,'Movimentações'!$B$2:$B1000,"Saída"))</f>
        <v/>
      </c>
      <c r="F428" s="8" t="str">
        <f t="shared" si="2"/>
        <v/>
      </c>
      <c r="G428" s="8" t="str">
        <f t="shared" si="1"/>
        <v/>
      </c>
    </row>
    <row r="429" ht="15.75" customHeight="1">
      <c r="A429" s="8"/>
      <c r="B429" s="8"/>
      <c r="C429" s="8"/>
      <c r="D429" s="8"/>
      <c r="E429" s="8" t="str">
        <f>IF(A429="","",D429+SUMIFS('Movimentações'!$E$2:$E1000,'Movimentações'!$C$2:$C1000,A429,'Movimentações'!$B$2:$B1000,"Entrada")-SUMIFS('Movimentações'!$E$2:$E1000,'Movimentações'!$C$2:$C1000,A429,'Movimentações'!$B$2:$B1000,"Saída"))</f>
        <v/>
      </c>
      <c r="F429" s="8" t="str">
        <f t="shared" si="2"/>
        <v/>
      </c>
      <c r="G429" s="8" t="str">
        <f t="shared" si="1"/>
        <v/>
      </c>
    </row>
    <row r="430" ht="15.75" customHeight="1">
      <c r="A430" s="8"/>
      <c r="B430" s="8"/>
      <c r="C430" s="8"/>
      <c r="D430" s="8"/>
      <c r="E430" s="8" t="str">
        <f>IF(A430="","",D430+SUMIFS('Movimentações'!$E$2:$E1000,'Movimentações'!$C$2:$C1000,A430,'Movimentações'!$B$2:$B1000,"Entrada")-SUMIFS('Movimentações'!$E$2:$E1000,'Movimentações'!$C$2:$C1000,A430,'Movimentações'!$B$2:$B1000,"Saída"))</f>
        <v/>
      </c>
      <c r="F430" s="8" t="str">
        <f t="shared" si="2"/>
        <v/>
      </c>
      <c r="G430" s="8" t="str">
        <f t="shared" si="1"/>
        <v/>
      </c>
    </row>
    <row r="431" ht="15.75" customHeight="1">
      <c r="A431" s="8"/>
      <c r="B431" s="8"/>
      <c r="C431" s="8"/>
      <c r="D431" s="8"/>
      <c r="E431" s="8" t="str">
        <f>IF(A431="","",D431+SUMIFS('Movimentações'!$E$2:$E1000,'Movimentações'!$C$2:$C1000,A431,'Movimentações'!$B$2:$B1000,"Entrada")-SUMIFS('Movimentações'!$E$2:$E1000,'Movimentações'!$C$2:$C1000,A431,'Movimentações'!$B$2:$B1000,"Saída"))</f>
        <v/>
      </c>
      <c r="F431" s="8" t="str">
        <f t="shared" si="2"/>
        <v/>
      </c>
      <c r="G431" s="8" t="str">
        <f t="shared" si="1"/>
        <v/>
      </c>
    </row>
    <row r="432" ht="15.75" customHeight="1">
      <c r="A432" s="8"/>
      <c r="B432" s="8"/>
      <c r="C432" s="8"/>
      <c r="D432" s="8"/>
      <c r="E432" s="8" t="str">
        <f>IF(A432="","",D432+SUMIFS('Movimentações'!$E$2:$E1000,'Movimentações'!$C$2:$C1000,A432,'Movimentações'!$B$2:$B1000,"Entrada")-SUMIFS('Movimentações'!$E$2:$E1000,'Movimentações'!$C$2:$C1000,A432,'Movimentações'!$B$2:$B1000,"Saída"))</f>
        <v/>
      </c>
      <c r="F432" s="8" t="str">
        <f t="shared" si="2"/>
        <v/>
      </c>
      <c r="G432" s="8" t="str">
        <f t="shared" si="1"/>
        <v/>
      </c>
    </row>
    <row r="433" ht="15.75" customHeight="1">
      <c r="A433" s="8"/>
      <c r="B433" s="8"/>
      <c r="C433" s="8"/>
      <c r="D433" s="8"/>
      <c r="E433" s="8" t="str">
        <f>IF(A433="","",D433+SUMIFS('Movimentações'!$E$2:$E1000,'Movimentações'!$C$2:$C1000,A433,'Movimentações'!$B$2:$B1000,"Entrada")-SUMIFS('Movimentações'!$E$2:$E1000,'Movimentações'!$C$2:$C1000,A433,'Movimentações'!$B$2:$B1000,"Saída"))</f>
        <v/>
      </c>
      <c r="F433" s="8" t="str">
        <f t="shared" si="2"/>
        <v/>
      </c>
      <c r="G433" s="8" t="str">
        <f t="shared" si="1"/>
        <v/>
      </c>
    </row>
    <row r="434" ht="15.75" customHeight="1">
      <c r="A434" s="8"/>
      <c r="B434" s="8"/>
      <c r="C434" s="8"/>
      <c r="D434" s="8"/>
      <c r="E434" s="8" t="str">
        <f>IF(A434="","",D434+SUMIFS('Movimentações'!$E$2:$E1000,'Movimentações'!$C$2:$C1000,A434,'Movimentações'!$B$2:$B1000,"Entrada")-SUMIFS('Movimentações'!$E$2:$E1000,'Movimentações'!$C$2:$C1000,A434,'Movimentações'!$B$2:$B1000,"Saída"))</f>
        <v/>
      </c>
      <c r="F434" s="8" t="str">
        <f t="shared" si="2"/>
        <v/>
      </c>
      <c r="G434" s="8" t="str">
        <f t="shared" si="1"/>
        <v/>
      </c>
    </row>
    <row r="435" ht="15.75" customHeight="1">
      <c r="A435" s="8"/>
      <c r="B435" s="8"/>
      <c r="C435" s="8"/>
      <c r="D435" s="8"/>
      <c r="E435" s="8" t="str">
        <f>IF(A435="","",D435+SUMIFS('Movimentações'!$E$2:$E1000,'Movimentações'!$C$2:$C1000,A435,'Movimentações'!$B$2:$B1000,"Entrada")-SUMIFS('Movimentações'!$E$2:$E1000,'Movimentações'!$C$2:$C1000,A435,'Movimentações'!$B$2:$B1000,"Saída"))</f>
        <v/>
      </c>
      <c r="F435" s="8" t="str">
        <f t="shared" si="2"/>
        <v/>
      </c>
      <c r="G435" s="8" t="str">
        <f t="shared" si="1"/>
        <v/>
      </c>
    </row>
    <row r="436" ht="15.75" customHeight="1">
      <c r="A436" s="8"/>
      <c r="B436" s="8"/>
      <c r="C436" s="8"/>
      <c r="D436" s="8"/>
      <c r="E436" s="8" t="str">
        <f>IF(A436="","",D436+SUMIFS('Movimentações'!$E$2:$E1000,'Movimentações'!$C$2:$C1000,A436,'Movimentações'!$B$2:$B1000,"Entrada")-SUMIFS('Movimentações'!$E$2:$E1000,'Movimentações'!$C$2:$C1000,A436,'Movimentações'!$B$2:$B1000,"Saída"))</f>
        <v/>
      </c>
      <c r="F436" s="8" t="str">
        <f t="shared" si="2"/>
        <v/>
      </c>
      <c r="G436" s="8" t="str">
        <f t="shared" si="1"/>
        <v/>
      </c>
    </row>
    <row r="437" ht="15.75" customHeight="1">
      <c r="A437" s="8"/>
      <c r="B437" s="8"/>
      <c r="C437" s="8"/>
      <c r="D437" s="8"/>
      <c r="E437" s="8" t="str">
        <f>IF(A437="","",D437+SUMIFS('Movimentações'!$E$2:$E1000,'Movimentações'!$C$2:$C1000,A437,'Movimentações'!$B$2:$B1000,"Entrada")-SUMIFS('Movimentações'!$E$2:$E1000,'Movimentações'!$C$2:$C1000,A437,'Movimentações'!$B$2:$B1000,"Saída"))</f>
        <v/>
      </c>
      <c r="F437" s="8" t="str">
        <f t="shared" si="2"/>
        <v/>
      </c>
      <c r="G437" s="8" t="str">
        <f t="shared" si="1"/>
        <v/>
      </c>
    </row>
    <row r="438" ht="15.75" customHeight="1">
      <c r="A438" s="8"/>
      <c r="B438" s="8"/>
      <c r="C438" s="8"/>
      <c r="D438" s="8"/>
      <c r="E438" s="8" t="str">
        <f>IF(A438="","",D438+SUMIFS('Movimentações'!$E$2:$E1000,'Movimentações'!$C$2:$C1000,A438,'Movimentações'!$B$2:$B1000,"Entrada")-SUMIFS('Movimentações'!$E$2:$E1000,'Movimentações'!$C$2:$C1000,A438,'Movimentações'!$B$2:$B1000,"Saída"))</f>
        <v/>
      </c>
      <c r="F438" s="8" t="str">
        <f t="shared" si="2"/>
        <v/>
      </c>
      <c r="G438" s="8" t="str">
        <f t="shared" si="1"/>
        <v/>
      </c>
    </row>
    <row r="439" ht="15.75" customHeight="1">
      <c r="A439" s="8"/>
      <c r="B439" s="8"/>
      <c r="C439" s="8"/>
      <c r="D439" s="8"/>
      <c r="E439" s="8" t="str">
        <f>IF(A439="","",D439+SUMIFS('Movimentações'!$E$2:$E1000,'Movimentações'!$C$2:$C1000,A439,'Movimentações'!$B$2:$B1000,"Entrada")-SUMIFS('Movimentações'!$E$2:$E1000,'Movimentações'!$C$2:$C1000,A439,'Movimentações'!$B$2:$B1000,"Saída"))</f>
        <v/>
      </c>
      <c r="F439" s="8" t="str">
        <f t="shared" si="2"/>
        <v/>
      </c>
      <c r="G439" s="8" t="str">
        <f t="shared" si="1"/>
        <v/>
      </c>
    </row>
    <row r="440" ht="15.75" customHeight="1">
      <c r="A440" s="8"/>
      <c r="B440" s="8"/>
      <c r="C440" s="8"/>
      <c r="D440" s="8"/>
      <c r="E440" s="8" t="str">
        <f>IF(A440="","",D440+SUMIFS('Movimentações'!$E$2:$E1000,'Movimentações'!$C$2:$C1000,A440,'Movimentações'!$B$2:$B1000,"Entrada")-SUMIFS('Movimentações'!$E$2:$E1000,'Movimentações'!$C$2:$C1000,A440,'Movimentações'!$B$2:$B1000,"Saída"))</f>
        <v/>
      </c>
      <c r="F440" s="8" t="str">
        <f t="shared" si="2"/>
        <v/>
      </c>
      <c r="G440" s="8" t="str">
        <f t="shared" si="1"/>
        <v/>
      </c>
    </row>
    <row r="441" ht="15.75" customHeight="1">
      <c r="A441" s="8"/>
      <c r="B441" s="8"/>
      <c r="C441" s="8"/>
      <c r="D441" s="8"/>
      <c r="E441" s="8" t="str">
        <f>IF(A441="","",D441+SUMIFS('Movimentações'!$E$2:$E1000,'Movimentações'!$C$2:$C1000,A441,'Movimentações'!$B$2:$B1000,"Entrada")-SUMIFS('Movimentações'!$E$2:$E1000,'Movimentações'!$C$2:$C1000,A441,'Movimentações'!$B$2:$B1000,"Saída"))</f>
        <v/>
      </c>
      <c r="F441" s="8" t="str">
        <f t="shared" si="2"/>
        <v/>
      </c>
      <c r="G441" s="8" t="str">
        <f t="shared" si="1"/>
        <v/>
      </c>
    </row>
    <row r="442" ht="15.75" customHeight="1">
      <c r="A442" s="8"/>
      <c r="B442" s="8"/>
      <c r="C442" s="8"/>
      <c r="D442" s="8"/>
      <c r="E442" s="8" t="str">
        <f>IF(A442="","",D442+SUMIFS('Movimentações'!$E$2:$E1000,'Movimentações'!$C$2:$C1000,A442,'Movimentações'!$B$2:$B1000,"Entrada")-SUMIFS('Movimentações'!$E$2:$E1000,'Movimentações'!$C$2:$C1000,A442,'Movimentações'!$B$2:$B1000,"Saída"))</f>
        <v/>
      </c>
      <c r="F442" s="8" t="str">
        <f t="shared" si="2"/>
        <v/>
      </c>
      <c r="G442" s="8" t="str">
        <f t="shared" si="1"/>
        <v/>
      </c>
    </row>
    <row r="443" ht="15.75" customHeight="1">
      <c r="A443" s="8"/>
      <c r="B443" s="8"/>
      <c r="C443" s="8"/>
      <c r="D443" s="8"/>
      <c r="E443" s="8" t="str">
        <f>IF(A443="","",D443+SUMIFS('Movimentações'!$E$2:$E1000,'Movimentações'!$C$2:$C1000,A443,'Movimentações'!$B$2:$B1000,"Entrada")-SUMIFS('Movimentações'!$E$2:$E1000,'Movimentações'!$C$2:$C1000,A443,'Movimentações'!$B$2:$B1000,"Saída"))</f>
        <v/>
      </c>
      <c r="F443" s="8" t="str">
        <f t="shared" si="2"/>
        <v/>
      </c>
      <c r="G443" s="8" t="str">
        <f t="shared" si="1"/>
        <v/>
      </c>
    </row>
    <row r="444" ht="15.75" customHeight="1">
      <c r="A444" s="8"/>
      <c r="B444" s="8"/>
      <c r="C444" s="8"/>
      <c r="D444" s="8"/>
      <c r="E444" s="8" t="str">
        <f>IF(A444="","",D444+SUMIFS('Movimentações'!$E$2:$E1000,'Movimentações'!$C$2:$C1000,A444,'Movimentações'!$B$2:$B1000,"Entrada")-SUMIFS('Movimentações'!$E$2:$E1000,'Movimentações'!$C$2:$C1000,A444,'Movimentações'!$B$2:$B1000,"Saída"))</f>
        <v/>
      </c>
      <c r="F444" s="8" t="str">
        <f t="shared" si="2"/>
        <v/>
      </c>
      <c r="G444" s="8" t="str">
        <f t="shared" si="1"/>
        <v/>
      </c>
    </row>
    <row r="445" ht="15.75" customHeight="1">
      <c r="A445" s="8"/>
      <c r="B445" s="8"/>
      <c r="C445" s="8"/>
      <c r="D445" s="8"/>
      <c r="E445" s="8" t="str">
        <f>IF(A445="","",D445+SUMIFS('Movimentações'!$E$2:$E1000,'Movimentações'!$C$2:$C1000,A445,'Movimentações'!$B$2:$B1000,"Entrada")-SUMIFS('Movimentações'!$E$2:$E1000,'Movimentações'!$C$2:$C1000,A445,'Movimentações'!$B$2:$B1000,"Saída"))</f>
        <v/>
      </c>
      <c r="F445" s="8" t="str">
        <f t="shared" si="2"/>
        <v/>
      </c>
      <c r="G445" s="8" t="str">
        <f t="shared" si="1"/>
        <v/>
      </c>
    </row>
    <row r="446" ht="15.75" customHeight="1">
      <c r="A446" s="8"/>
      <c r="B446" s="8"/>
      <c r="C446" s="8"/>
      <c r="D446" s="8"/>
      <c r="E446" s="8" t="str">
        <f>IF(A446="","",D446+SUMIFS('Movimentações'!$E$2:$E1000,'Movimentações'!$C$2:$C1000,A446,'Movimentações'!$B$2:$B1000,"Entrada")-SUMIFS('Movimentações'!$E$2:$E1000,'Movimentações'!$C$2:$C1000,A446,'Movimentações'!$B$2:$B1000,"Saída"))</f>
        <v/>
      </c>
      <c r="F446" s="8" t="str">
        <f t="shared" si="2"/>
        <v/>
      </c>
      <c r="G446" s="8" t="str">
        <f t="shared" si="1"/>
        <v/>
      </c>
    </row>
    <row r="447" ht="15.75" customHeight="1">
      <c r="A447" s="8"/>
      <c r="B447" s="8"/>
      <c r="C447" s="8"/>
      <c r="D447" s="8"/>
      <c r="E447" s="8" t="str">
        <f>IF(A447="","",D447+SUMIFS('Movimentações'!$E$2:$E1000,'Movimentações'!$C$2:$C1000,A447,'Movimentações'!$B$2:$B1000,"Entrada")-SUMIFS('Movimentações'!$E$2:$E1000,'Movimentações'!$C$2:$C1000,A447,'Movimentações'!$B$2:$B1000,"Saída"))</f>
        <v/>
      </c>
      <c r="F447" s="8" t="str">
        <f t="shared" si="2"/>
        <v/>
      </c>
      <c r="G447" s="8" t="str">
        <f t="shared" si="1"/>
        <v/>
      </c>
    </row>
    <row r="448" ht="15.75" customHeight="1">
      <c r="A448" s="8"/>
      <c r="B448" s="8"/>
      <c r="C448" s="8"/>
      <c r="D448" s="8"/>
      <c r="E448" s="8" t="str">
        <f>IF(A448="","",D448+SUMIFS('Movimentações'!$E$2:$E1000,'Movimentações'!$C$2:$C1000,A448,'Movimentações'!$B$2:$B1000,"Entrada")-SUMIFS('Movimentações'!$E$2:$E1000,'Movimentações'!$C$2:$C1000,A448,'Movimentações'!$B$2:$B1000,"Saída"))</f>
        <v/>
      </c>
      <c r="F448" s="8" t="str">
        <f t="shared" si="2"/>
        <v/>
      </c>
      <c r="G448" s="8" t="str">
        <f t="shared" si="1"/>
        <v/>
      </c>
    </row>
    <row r="449" ht="15.75" customHeight="1">
      <c r="A449" s="8"/>
      <c r="B449" s="8"/>
      <c r="C449" s="8"/>
      <c r="D449" s="8"/>
      <c r="E449" s="8" t="str">
        <f>IF(A449="","",D449+SUMIFS('Movimentações'!$E$2:$E1000,'Movimentações'!$C$2:$C1000,A449,'Movimentações'!$B$2:$B1000,"Entrada")-SUMIFS('Movimentações'!$E$2:$E1000,'Movimentações'!$C$2:$C1000,A449,'Movimentações'!$B$2:$B1000,"Saída"))</f>
        <v/>
      </c>
      <c r="F449" s="8" t="str">
        <f t="shared" si="2"/>
        <v/>
      </c>
      <c r="G449" s="8" t="str">
        <f t="shared" si="1"/>
        <v/>
      </c>
    </row>
    <row r="450" ht="15.75" customHeight="1">
      <c r="A450" s="8"/>
      <c r="B450" s="8"/>
      <c r="C450" s="8"/>
      <c r="D450" s="8"/>
      <c r="E450" s="8" t="str">
        <f>IF(A450="","",D450+SUMIFS('Movimentações'!$E$2:$E1000,'Movimentações'!$C$2:$C1000,A450,'Movimentações'!$B$2:$B1000,"Entrada")-SUMIFS('Movimentações'!$E$2:$E1000,'Movimentações'!$C$2:$C1000,A450,'Movimentações'!$B$2:$B1000,"Saída"))</f>
        <v/>
      </c>
      <c r="F450" s="8" t="str">
        <f t="shared" si="2"/>
        <v/>
      </c>
      <c r="G450" s="8" t="str">
        <f t="shared" si="1"/>
        <v/>
      </c>
    </row>
    <row r="451" ht="15.75" customHeight="1">
      <c r="A451" s="8"/>
      <c r="B451" s="8"/>
      <c r="C451" s="8"/>
      <c r="D451" s="8"/>
      <c r="E451" s="8" t="str">
        <f>IF(A451="","",D451+SUMIFS('Movimentações'!$E$2:$E1000,'Movimentações'!$C$2:$C1000,A451,'Movimentações'!$B$2:$B1000,"Entrada")-SUMIFS('Movimentações'!$E$2:$E1000,'Movimentações'!$C$2:$C1000,A451,'Movimentações'!$B$2:$B1000,"Saída"))</f>
        <v/>
      </c>
      <c r="F451" s="8" t="str">
        <f t="shared" si="2"/>
        <v/>
      </c>
      <c r="G451" s="8" t="str">
        <f t="shared" si="1"/>
        <v/>
      </c>
    </row>
    <row r="452" ht="15.75" customHeight="1">
      <c r="A452" s="8"/>
      <c r="B452" s="8"/>
      <c r="C452" s="8"/>
      <c r="D452" s="8"/>
      <c r="E452" s="8" t="str">
        <f>IF(A452="","",D452+SUMIFS('Movimentações'!$E$2:$E1000,'Movimentações'!$C$2:$C1000,A452,'Movimentações'!$B$2:$B1000,"Entrada")-SUMIFS('Movimentações'!$E$2:$E1000,'Movimentações'!$C$2:$C1000,A452,'Movimentações'!$B$2:$B1000,"Saída"))</f>
        <v/>
      </c>
      <c r="F452" s="8" t="str">
        <f t="shared" si="2"/>
        <v/>
      </c>
      <c r="G452" s="8" t="str">
        <f t="shared" si="1"/>
        <v/>
      </c>
    </row>
    <row r="453" ht="15.75" customHeight="1">
      <c r="A453" s="8"/>
      <c r="B453" s="8"/>
      <c r="C453" s="8"/>
      <c r="D453" s="8"/>
      <c r="E453" s="8" t="str">
        <f>IF(A453="","",D453+SUMIFS('Movimentações'!$E$2:$E1000,'Movimentações'!$C$2:$C1000,A453,'Movimentações'!$B$2:$B1000,"Entrada")-SUMIFS('Movimentações'!$E$2:$E1000,'Movimentações'!$C$2:$C1000,A453,'Movimentações'!$B$2:$B1000,"Saída"))</f>
        <v/>
      </c>
      <c r="F453" s="8" t="str">
        <f t="shared" si="2"/>
        <v/>
      </c>
      <c r="G453" s="8" t="str">
        <f t="shared" si="1"/>
        <v/>
      </c>
    </row>
    <row r="454" ht="15.75" customHeight="1">
      <c r="A454" s="8"/>
      <c r="B454" s="8"/>
      <c r="C454" s="8"/>
      <c r="D454" s="8"/>
      <c r="E454" s="8" t="str">
        <f>IF(A454="","",D454+SUMIFS('Movimentações'!$E$2:$E1000,'Movimentações'!$C$2:$C1000,A454,'Movimentações'!$B$2:$B1000,"Entrada")-SUMIFS('Movimentações'!$E$2:$E1000,'Movimentações'!$C$2:$C1000,A454,'Movimentações'!$B$2:$B1000,"Saída"))</f>
        <v/>
      </c>
      <c r="F454" s="8" t="str">
        <f t="shared" si="2"/>
        <v/>
      </c>
      <c r="G454" s="8" t="str">
        <f t="shared" si="1"/>
        <v/>
      </c>
    </row>
    <row r="455" ht="15.75" customHeight="1">
      <c r="A455" s="8"/>
      <c r="B455" s="8"/>
      <c r="C455" s="8"/>
      <c r="D455" s="8"/>
      <c r="E455" s="8" t="str">
        <f>IF(A455="","",D455+SUMIFS('Movimentações'!$E$2:$E1000,'Movimentações'!$C$2:$C1000,A455,'Movimentações'!$B$2:$B1000,"Entrada")-SUMIFS('Movimentações'!$E$2:$E1000,'Movimentações'!$C$2:$C1000,A455,'Movimentações'!$B$2:$B1000,"Saída"))</f>
        <v/>
      </c>
      <c r="F455" s="8" t="str">
        <f t="shared" si="2"/>
        <v/>
      </c>
      <c r="G455" s="8" t="str">
        <f t="shared" si="1"/>
        <v/>
      </c>
    </row>
    <row r="456" ht="15.75" customHeight="1">
      <c r="A456" s="8"/>
      <c r="B456" s="8"/>
      <c r="C456" s="8"/>
      <c r="D456" s="8"/>
      <c r="E456" s="8" t="str">
        <f>IF(A456="","",D456+SUMIFS('Movimentações'!$E$2:$E1000,'Movimentações'!$C$2:$C1000,A456,'Movimentações'!$B$2:$B1000,"Entrada")-SUMIFS('Movimentações'!$E$2:$E1000,'Movimentações'!$C$2:$C1000,A456,'Movimentações'!$B$2:$B1000,"Saída"))</f>
        <v/>
      </c>
      <c r="F456" s="8" t="str">
        <f t="shared" si="2"/>
        <v/>
      </c>
      <c r="G456" s="8" t="str">
        <f t="shared" si="1"/>
        <v/>
      </c>
    </row>
    <row r="457" ht="15.75" customHeight="1">
      <c r="A457" s="8"/>
      <c r="B457" s="8"/>
      <c r="C457" s="8"/>
      <c r="D457" s="8"/>
      <c r="E457" s="8" t="str">
        <f>IF(A457="","",D457+SUMIFS('Movimentações'!$E$2:$E1000,'Movimentações'!$C$2:$C1000,A457,'Movimentações'!$B$2:$B1000,"Entrada")-SUMIFS('Movimentações'!$E$2:$E1000,'Movimentações'!$C$2:$C1000,A457,'Movimentações'!$B$2:$B1000,"Saída"))</f>
        <v/>
      </c>
      <c r="F457" s="8" t="str">
        <f t="shared" si="2"/>
        <v/>
      </c>
      <c r="G457" s="8" t="str">
        <f t="shared" si="1"/>
        <v/>
      </c>
    </row>
    <row r="458" ht="15.75" customHeight="1">
      <c r="A458" s="8"/>
      <c r="B458" s="8"/>
      <c r="C458" s="8"/>
      <c r="D458" s="8"/>
      <c r="E458" s="8" t="str">
        <f>IF(A458="","",D458+SUMIFS('Movimentações'!$E$2:$E1000,'Movimentações'!$C$2:$C1000,A458,'Movimentações'!$B$2:$B1000,"Entrada")-SUMIFS('Movimentações'!$E$2:$E1000,'Movimentações'!$C$2:$C1000,A458,'Movimentações'!$B$2:$B1000,"Saída"))</f>
        <v/>
      </c>
      <c r="F458" s="8" t="str">
        <f t="shared" si="2"/>
        <v/>
      </c>
      <c r="G458" s="8" t="str">
        <f t="shared" si="1"/>
        <v/>
      </c>
    </row>
    <row r="459" ht="15.75" customHeight="1">
      <c r="A459" s="8"/>
      <c r="B459" s="8"/>
      <c r="C459" s="8"/>
      <c r="D459" s="8"/>
      <c r="E459" s="8" t="str">
        <f>IF(A459="","",D459+SUMIFS('Movimentações'!$E$2:$E1000,'Movimentações'!$C$2:$C1000,A459,'Movimentações'!$B$2:$B1000,"Entrada")-SUMIFS('Movimentações'!$E$2:$E1000,'Movimentações'!$C$2:$C1000,A459,'Movimentações'!$B$2:$B1000,"Saída"))</f>
        <v/>
      </c>
      <c r="F459" s="8" t="str">
        <f t="shared" si="2"/>
        <v/>
      </c>
      <c r="G459" s="8" t="str">
        <f t="shared" si="1"/>
        <v/>
      </c>
    </row>
    <row r="460" ht="15.75" customHeight="1">
      <c r="A460" s="8"/>
      <c r="B460" s="8"/>
      <c r="C460" s="8"/>
      <c r="D460" s="8"/>
      <c r="E460" s="8" t="str">
        <f>IF(A460="","",D460+SUMIFS('Movimentações'!$E$2:$E1000,'Movimentações'!$C$2:$C1000,A460,'Movimentações'!$B$2:$B1000,"Entrada")-SUMIFS('Movimentações'!$E$2:$E1000,'Movimentações'!$C$2:$C1000,A460,'Movimentações'!$B$2:$B1000,"Saída"))</f>
        <v/>
      </c>
      <c r="F460" s="8" t="str">
        <f t="shared" si="2"/>
        <v/>
      </c>
      <c r="G460" s="8" t="str">
        <f t="shared" si="1"/>
        <v/>
      </c>
    </row>
    <row r="461" ht="15.75" customHeight="1">
      <c r="A461" s="8"/>
      <c r="B461" s="8"/>
      <c r="C461" s="8"/>
      <c r="D461" s="8"/>
      <c r="E461" s="8" t="str">
        <f>IF(A461="","",D461+SUMIFS('Movimentações'!$E$2:$E1000,'Movimentações'!$C$2:$C1000,A461,'Movimentações'!$B$2:$B1000,"Entrada")-SUMIFS('Movimentações'!$E$2:$E1000,'Movimentações'!$C$2:$C1000,A461,'Movimentações'!$B$2:$B1000,"Saída"))</f>
        <v/>
      </c>
      <c r="F461" s="8" t="str">
        <f t="shared" si="2"/>
        <v/>
      </c>
      <c r="G461" s="8" t="str">
        <f t="shared" si="1"/>
        <v/>
      </c>
    </row>
    <row r="462" ht="15.75" customHeight="1">
      <c r="A462" s="8"/>
      <c r="B462" s="8"/>
      <c r="C462" s="8"/>
      <c r="D462" s="8"/>
      <c r="E462" s="8" t="str">
        <f>IF(A462="","",D462+SUMIFS('Movimentações'!$E$2:$E1000,'Movimentações'!$C$2:$C1000,A462,'Movimentações'!$B$2:$B1000,"Entrada")-SUMIFS('Movimentações'!$E$2:$E1000,'Movimentações'!$C$2:$C1000,A462,'Movimentações'!$B$2:$B1000,"Saída"))</f>
        <v/>
      </c>
      <c r="F462" s="8" t="str">
        <f t="shared" si="2"/>
        <v/>
      </c>
      <c r="G462" s="8" t="str">
        <f t="shared" si="1"/>
        <v/>
      </c>
    </row>
    <row r="463" ht="15.75" customHeight="1">
      <c r="A463" s="8"/>
      <c r="B463" s="8"/>
      <c r="C463" s="8"/>
      <c r="D463" s="8"/>
      <c r="E463" s="8" t="str">
        <f>IF(A463="","",D463+SUMIFS('Movimentações'!$E$2:$E1000,'Movimentações'!$C$2:$C1000,A463,'Movimentações'!$B$2:$B1000,"Entrada")-SUMIFS('Movimentações'!$E$2:$E1000,'Movimentações'!$C$2:$C1000,A463,'Movimentações'!$B$2:$B1000,"Saída"))</f>
        <v/>
      </c>
      <c r="F463" s="8" t="str">
        <f t="shared" si="2"/>
        <v/>
      </c>
      <c r="G463" s="8" t="str">
        <f t="shared" si="1"/>
        <v/>
      </c>
    </row>
    <row r="464" ht="15.75" customHeight="1">
      <c r="A464" s="8"/>
      <c r="B464" s="8"/>
      <c r="C464" s="8"/>
      <c r="D464" s="8"/>
      <c r="E464" s="8" t="str">
        <f>IF(A464="","",D464+SUMIFS('Movimentações'!$E$2:$E1000,'Movimentações'!$C$2:$C1000,A464,'Movimentações'!$B$2:$B1000,"Entrada")-SUMIFS('Movimentações'!$E$2:$E1000,'Movimentações'!$C$2:$C1000,A464,'Movimentações'!$B$2:$B1000,"Saída"))</f>
        <v/>
      </c>
      <c r="F464" s="8" t="str">
        <f t="shared" si="2"/>
        <v/>
      </c>
      <c r="G464" s="8" t="str">
        <f t="shared" si="1"/>
        <v/>
      </c>
    </row>
    <row r="465" ht="15.75" customHeight="1">
      <c r="A465" s="8"/>
      <c r="B465" s="8"/>
      <c r="C465" s="8"/>
      <c r="D465" s="8"/>
      <c r="E465" s="8" t="str">
        <f>IF(A465="","",D465+SUMIFS('Movimentações'!$E$2:$E1000,'Movimentações'!$C$2:$C1000,A465,'Movimentações'!$B$2:$B1000,"Entrada")-SUMIFS('Movimentações'!$E$2:$E1000,'Movimentações'!$C$2:$C1000,A465,'Movimentações'!$B$2:$B1000,"Saída"))</f>
        <v/>
      </c>
      <c r="F465" s="8" t="str">
        <f t="shared" si="2"/>
        <v/>
      </c>
      <c r="G465" s="8" t="str">
        <f t="shared" si="1"/>
        <v/>
      </c>
    </row>
    <row r="466" ht="15.75" customHeight="1">
      <c r="A466" s="8"/>
      <c r="B466" s="8"/>
      <c r="C466" s="8"/>
      <c r="D466" s="8"/>
      <c r="E466" s="8" t="str">
        <f>IF(A466="","",D466+SUMIFS('Movimentações'!$E$2:$E1000,'Movimentações'!$C$2:$C1000,A466,'Movimentações'!$B$2:$B1000,"Entrada")-SUMIFS('Movimentações'!$E$2:$E1000,'Movimentações'!$C$2:$C1000,A466,'Movimentações'!$B$2:$B1000,"Saída"))</f>
        <v/>
      </c>
      <c r="F466" s="8" t="str">
        <f t="shared" si="2"/>
        <v/>
      </c>
      <c r="G466" s="8" t="str">
        <f t="shared" si="1"/>
        <v/>
      </c>
    </row>
    <row r="467" ht="15.75" customHeight="1">
      <c r="A467" s="8"/>
      <c r="B467" s="8"/>
      <c r="C467" s="8"/>
      <c r="D467" s="8"/>
      <c r="E467" s="8" t="str">
        <f>IF(A467="","",D467+SUMIFS('Movimentações'!$E$2:$E1000,'Movimentações'!$C$2:$C1000,A467,'Movimentações'!$B$2:$B1000,"Entrada")-SUMIFS('Movimentações'!$E$2:$E1000,'Movimentações'!$C$2:$C1000,A467,'Movimentações'!$B$2:$B1000,"Saída"))</f>
        <v/>
      </c>
      <c r="F467" s="8" t="str">
        <f t="shared" si="2"/>
        <v/>
      </c>
      <c r="G467" s="8" t="str">
        <f t="shared" si="1"/>
        <v/>
      </c>
    </row>
    <row r="468" ht="15.75" customHeight="1">
      <c r="A468" s="8"/>
      <c r="B468" s="8"/>
      <c r="C468" s="8"/>
      <c r="D468" s="8"/>
      <c r="E468" s="8" t="str">
        <f>IF(A468="","",D468+SUMIFS('Movimentações'!$E$2:$E1000,'Movimentações'!$C$2:$C1000,A468,'Movimentações'!$B$2:$B1000,"Entrada")-SUMIFS('Movimentações'!$E$2:$E1000,'Movimentações'!$C$2:$C1000,A468,'Movimentações'!$B$2:$B1000,"Saída"))</f>
        <v/>
      </c>
      <c r="F468" s="8" t="str">
        <f t="shared" si="2"/>
        <v/>
      </c>
      <c r="G468" s="8" t="str">
        <f t="shared" si="1"/>
        <v/>
      </c>
    </row>
    <row r="469" ht="15.75" customHeight="1">
      <c r="A469" s="8"/>
      <c r="B469" s="8"/>
      <c r="C469" s="8"/>
      <c r="D469" s="8"/>
      <c r="E469" s="8" t="str">
        <f>IF(A469="","",D469+SUMIFS('Movimentações'!$E$2:$E1000,'Movimentações'!$C$2:$C1000,A469,'Movimentações'!$B$2:$B1000,"Entrada")-SUMIFS('Movimentações'!$E$2:$E1000,'Movimentações'!$C$2:$C1000,A469,'Movimentações'!$B$2:$B1000,"Saída"))</f>
        <v/>
      </c>
      <c r="F469" s="8" t="str">
        <f t="shared" si="2"/>
        <v/>
      </c>
      <c r="G469" s="8" t="str">
        <f t="shared" si="1"/>
        <v/>
      </c>
    </row>
    <row r="470" ht="15.75" customHeight="1">
      <c r="A470" s="8"/>
      <c r="B470" s="8"/>
      <c r="C470" s="8"/>
      <c r="D470" s="8"/>
      <c r="E470" s="8" t="str">
        <f>IF(A470="","",D470+SUMIFS('Movimentações'!$E$2:$E1000,'Movimentações'!$C$2:$C1000,A470,'Movimentações'!$B$2:$B1000,"Entrada")-SUMIFS('Movimentações'!$E$2:$E1000,'Movimentações'!$C$2:$C1000,A470,'Movimentações'!$B$2:$B1000,"Saída"))</f>
        <v/>
      </c>
      <c r="F470" s="8" t="str">
        <f t="shared" si="2"/>
        <v/>
      </c>
      <c r="G470" s="8" t="str">
        <f t="shared" si="1"/>
        <v/>
      </c>
    </row>
    <row r="471" ht="15.75" customHeight="1">
      <c r="A471" s="8"/>
      <c r="B471" s="8"/>
      <c r="C471" s="8"/>
      <c r="D471" s="8"/>
      <c r="E471" s="8" t="str">
        <f>IF(A471="","",D471+SUMIFS('Movimentações'!$E$2:$E1000,'Movimentações'!$C$2:$C1000,A471,'Movimentações'!$B$2:$B1000,"Entrada")-SUMIFS('Movimentações'!$E$2:$E1000,'Movimentações'!$C$2:$C1000,A471,'Movimentações'!$B$2:$B1000,"Saída"))</f>
        <v/>
      </c>
      <c r="F471" s="8" t="str">
        <f t="shared" si="2"/>
        <v/>
      </c>
      <c r="G471" s="8" t="str">
        <f t="shared" si="1"/>
        <v/>
      </c>
    </row>
    <row r="472" ht="15.75" customHeight="1">
      <c r="A472" s="8"/>
      <c r="B472" s="8"/>
      <c r="C472" s="8"/>
      <c r="D472" s="8"/>
      <c r="E472" s="8" t="str">
        <f>IF(A472="","",D472+SUMIFS('Movimentações'!$E$2:$E1000,'Movimentações'!$C$2:$C1000,A472,'Movimentações'!$B$2:$B1000,"Entrada")-SUMIFS('Movimentações'!$E$2:$E1000,'Movimentações'!$C$2:$C1000,A472,'Movimentações'!$B$2:$B1000,"Saída"))</f>
        <v/>
      </c>
      <c r="F472" s="8" t="str">
        <f t="shared" si="2"/>
        <v/>
      </c>
      <c r="G472" s="8" t="str">
        <f t="shared" si="1"/>
        <v/>
      </c>
    </row>
    <row r="473" ht="15.75" customHeight="1">
      <c r="A473" s="8"/>
      <c r="B473" s="8"/>
      <c r="C473" s="8"/>
      <c r="D473" s="8"/>
      <c r="E473" s="8" t="str">
        <f>IF(A473="","",D473+SUMIFS('Movimentações'!$E$2:$E1000,'Movimentações'!$C$2:$C1000,A473,'Movimentações'!$B$2:$B1000,"Entrada")-SUMIFS('Movimentações'!$E$2:$E1000,'Movimentações'!$C$2:$C1000,A473,'Movimentações'!$B$2:$B1000,"Saída"))</f>
        <v/>
      </c>
      <c r="F473" s="8" t="str">
        <f t="shared" si="2"/>
        <v/>
      </c>
      <c r="G473" s="8" t="str">
        <f t="shared" si="1"/>
        <v/>
      </c>
    </row>
    <row r="474" ht="15.75" customHeight="1">
      <c r="A474" s="8"/>
      <c r="B474" s="8"/>
      <c r="C474" s="8"/>
      <c r="D474" s="8"/>
      <c r="E474" s="8" t="str">
        <f>IF(A474="","",D474+SUMIFS('Movimentações'!$E$2:$E1000,'Movimentações'!$C$2:$C1000,A474,'Movimentações'!$B$2:$B1000,"Entrada")-SUMIFS('Movimentações'!$E$2:$E1000,'Movimentações'!$C$2:$C1000,A474,'Movimentações'!$B$2:$B1000,"Saída"))</f>
        <v/>
      </c>
      <c r="F474" s="8" t="str">
        <f t="shared" si="2"/>
        <v/>
      </c>
      <c r="G474" s="8" t="str">
        <f t="shared" si="1"/>
        <v/>
      </c>
    </row>
    <row r="475" ht="15.75" customHeight="1">
      <c r="A475" s="8"/>
      <c r="B475" s="8"/>
      <c r="C475" s="8"/>
      <c r="D475" s="8"/>
      <c r="E475" s="8" t="str">
        <f>IF(A475="","",D475+SUMIFS('Movimentações'!$E$2:$E1000,'Movimentações'!$C$2:$C1000,A475,'Movimentações'!$B$2:$B1000,"Entrada")-SUMIFS('Movimentações'!$E$2:$E1000,'Movimentações'!$C$2:$C1000,A475,'Movimentações'!$B$2:$B1000,"Saída"))</f>
        <v/>
      </c>
      <c r="F475" s="8" t="str">
        <f t="shared" si="2"/>
        <v/>
      </c>
      <c r="G475" s="8" t="str">
        <f t="shared" si="1"/>
        <v/>
      </c>
    </row>
    <row r="476" ht="15.75" customHeight="1">
      <c r="A476" s="8"/>
      <c r="B476" s="8"/>
      <c r="C476" s="8"/>
      <c r="D476" s="8"/>
      <c r="E476" s="8" t="str">
        <f>IF(A476="","",D476+SUMIFS('Movimentações'!$E$2:$E1000,'Movimentações'!$C$2:$C1000,A476,'Movimentações'!$B$2:$B1000,"Entrada")-SUMIFS('Movimentações'!$E$2:$E1000,'Movimentações'!$C$2:$C1000,A476,'Movimentações'!$B$2:$B1000,"Saída"))</f>
        <v/>
      </c>
      <c r="F476" s="8" t="str">
        <f t="shared" si="2"/>
        <v/>
      </c>
      <c r="G476" s="8" t="str">
        <f t="shared" si="1"/>
        <v/>
      </c>
    </row>
    <row r="477" ht="15.75" customHeight="1">
      <c r="A477" s="8"/>
      <c r="B477" s="8"/>
      <c r="C477" s="8"/>
      <c r="D477" s="8"/>
      <c r="E477" s="8" t="str">
        <f>IF(A477="","",D477+SUMIFS('Movimentações'!$E$2:$E1000,'Movimentações'!$C$2:$C1000,A477,'Movimentações'!$B$2:$B1000,"Entrada")-SUMIFS('Movimentações'!$E$2:$E1000,'Movimentações'!$C$2:$C1000,A477,'Movimentações'!$B$2:$B1000,"Saída"))</f>
        <v/>
      </c>
      <c r="F477" s="8" t="str">
        <f t="shared" si="2"/>
        <v/>
      </c>
      <c r="G477" s="8" t="str">
        <f t="shared" si="1"/>
        <v/>
      </c>
    </row>
    <row r="478" ht="15.75" customHeight="1">
      <c r="A478" s="8"/>
      <c r="B478" s="8"/>
      <c r="C478" s="8"/>
      <c r="D478" s="8"/>
      <c r="E478" s="8" t="str">
        <f>IF(A478="","",D478+SUMIFS('Movimentações'!$E$2:$E1000,'Movimentações'!$C$2:$C1000,A478,'Movimentações'!$B$2:$B1000,"Entrada")-SUMIFS('Movimentações'!$E$2:$E1000,'Movimentações'!$C$2:$C1000,A478,'Movimentações'!$B$2:$B1000,"Saída"))</f>
        <v/>
      </c>
      <c r="F478" s="8" t="str">
        <f t="shared" si="2"/>
        <v/>
      </c>
      <c r="G478" s="8" t="str">
        <f t="shared" si="1"/>
        <v/>
      </c>
    </row>
    <row r="479" ht="15.75" customHeight="1">
      <c r="A479" s="8"/>
      <c r="B479" s="8"/>
      <c r="C479" s="8"/>
      <c r="D479" s="8"/>
      <c r="E479" s="8" t="str">
        <f>IF(A479="","",D479+SUMIFS('Movimentações'!$E$2:$E1000,'Movimentações'!$C$2:$C1000,A479,'Movimentações'!$B$2:$B1000,"Entrada")-SUMIFS('Movimentações'!$E$2:$E1000,'Movimentações'!$C$2:$C1000,A479,'Movimentações'!$B$2:$B1000,"Saída"))</f>
        <v/>
      </c>
      <c r="F479" s="8" t="str">
        <f t="shared" si="2"/>
        <v/>
      </c>
      <c r="G479" s="8" t="str">
        <f t="shared" si="1"/>
        <v/>
      </c>
    </row>
    <row r="480" ht="15.75" customHeight="1">
      <c r="A480" s="8"/>
      <c r="B480" s="8"/>
      <c r="C480" s="8"/>
      <c r="D480" s="8"/>
      <c r="E480" s="8" t="str">
        <f>IF(A480="","",D480+SUMIFS('Movimentações'!$E$2:$E1000,'Movimentações'!$C$2:$C1000,A480,'Movimentações'!$B$2:$B1000,"Entrada")-SUMIFS('Movimentações'!$E$2:$E1000,'Movimentações'!$C$2:$C1000,A480,'Movimentações'!$B$2:$B1000,"Saída"))</f>
        <v/>
      </c>
      <c r="F480" s="8" t="str">
        <f t="shared" si="2"/>
        <v/>
      </c>
      <c r="G480" s="8" t="str">
        <f t="shared" si="1"/>
        <v/>
      </c>
    </row>
    <row r="481" ht="15.75" customHeight="1">
      <c r="A481" s="8"/>
      <c r="B481" s="8"/>
      <c r="C481" s="8"/>
      <c r="D481" s="8"/>
      <c r="E481" s="8" t="str">
        <f>IF(A481="","",D481+SUMIFS('Movimentações'!$E$2:$E1000,'Movimentações'!$C$2:$C1000,A481,'Movimentações'!$B$2:$B1000,"Entrada")-SUMIFS('Movimentações'!$E$2:$E1000,'Movimentações'!$C$2:$C1000,A481,'Movimentações'!$B$2:$B1000,"Saída"))</f>
        <v/>
      </c>
      <c r="F481" s="8" t="str">
        <f t="shared" si="2"/>
        <v/>
      </c>
      <c r="G481" s="8" t="str">
        <f t="shared" si="1"/>
        <v/>
      </c>
    </row>
    <row r="482" ht="15.75" customHeight="1">
      <c r="A482" s="8"/>
      <c r="B482" s="8"/>
      <c r="C482" s="8"/>
      <c r="D482" s="8"/>
      <c r="E482" s="8" t="str">
        <f>IF(A482="","",D482+SUMIFS('Movimentações'!$E$2:$E1000,'Movimentações'!$C$2:$C1000,A482,'Movimentações'!$B$2:$B1000,"Entrada")-SUMIFS('Movimentações'!$E$2:$E1000,'Movimentações'!$C$2:$C1000,A482,'Movimentações'!$B$2:$B1000,"Saída"))</f>
        <v/>
      </c>
      <c r="F482" s="8" t="str">
        <f t="shared" si="2"/>
        <v/>
      </c>
      <c r="G482" s="8" t="str">
        <f t="shared" si="1"/>
        <v/>
      </c>
    </row>
    <row r="483" ht="15.75" customHeight="1">
      <c r="A483" s="8"/>
      <c r="B483" s="8"/>
      <c r="C483" s="8"/>
      <c r="D483" s="8"/>
      <c r="E483" s="8" t="str">
        <f>IF(A483="","",D483+SUMIFS('Movimentações'!$E$2:$E1000,'Movimentações'!$C$2:$C1000,A483,'Movimentações'!$B$2:$B1000,"Entrada")-SUMIFS('Movimentações'!$E$2:$E1000,'Movimentações'!$C$2:$C1000,A483,'Movimentações'!$B$2:$B1000,"Saída"))</f>
        <v/>
      </c>
      <c r="F483" s="8" t="str">
        <f t="shared" si="2"/>
        <v/>
      </c>
      <c r="G483" s="8" t="str">
        <f t="shared" si="1"/>
        <v/>
      </c>
    </row>
    <row r="484" ht="15.75" customHeight="1">
      <c r="A484" s="8"/>
      <c r="B484" s="8"/>
      <c r="C484" s="8"/>
      <c r="D484" s="8"/>
      <c r="E484" s="8" t="str">
        <f>IF(A484="","",D484+SUMIFS('Movimentações'!$E$2:$E1000,'Movimentações'!$C$2:$C1000,A484,'Movimentações'!$B$2:$B1000,"Entrada")-SUMIFS('Movimentações'!$E$2:$E1000,'Movimentações'!$C$2:$C1000,A484,'Movimentações'!$B$2:$B1000,"Saída"))</f>
        <v/>
      </c>
      <c r="F484" s="8" t="str">
        <f t="shared" si="2"/>
        <v/>
      </c>
      <c r="G484" s="8" t="str">
        <f t="shared" si="1"/>
        <v/>
      </c>
    </row>
    <row r="485" ht="15.75" customHeight="1">
      <c r="A485" s="8"/>
      <c r="B485" s="8"/>
      <c r="C485" s="8"/>
      <c r="D485" s="8"/>
      <c r="E485" s="8" t="str">
        <f>IF(A485="","",D485+SUMIFS('Movimentações'!$E$2:$E1000,'Movimentações'!$C$2:$C1000,A485,'Movimentações'!$B$2:$B1000,"Entrada")-SUMIFS('Movimentações'!$E$2:$E1000,'Movimentações'!$C$2:$C1000,A485,'Movimentações'!$B$2:$B1000,"Saída"))</f>
        <v/>
      </c>
      <c r="F485" s="8" t="str">
        <f t="shared" si="2"/>
        <v/>
      </c>
      <c r="G485" s="8" t="str">
        <f t="shared" si="1"/>
        <v/>
      </c>
    </row>
    <row r="486" ht="15.75" customHeight="1">
      <c r="A486" s="8"/>
      <c r="B486" s="8"/>
      <c r="C486" s="8"/>
      <c r="D486" s="8"/>
      <c r="E486" s="8" t="str">
        <f>IF(A486="","",D486+SUMIFS('Movimentações'!$E$2:$E1000,'Movimentações'!$C$2:$C1000,A486,'Movimentações'!$B$2:$B1000,"Entrada")-SUMIFS('Movimentações'!$E$2:$E1000,'Movimentações'!$C$2:$C1000,A486,'Movimentações'!$B$2:$B1000,"Saída"))</f>
        <v/>
      </c>
      <c r="F486" s="8" t="str">
        <f t="shared" si="2"/>
        <v/>
      </c>
      <c r="G486" s="8" t="str">
        <f t="shared" si="1"/>
        <v/>
      </c>
    </row>
    <row r="487" ht="15.75" customHeight="1">
      <c r="A487" s="8"/>
      <c r="B487" s="8"/>
      <c r="C487" s="8"/>
      <c r="D487" s="8"/>
      <c r="E487" s="8" t="str">
        <f>IF(A487="","",D487+SUMIFS('Movimentações'!$E$2:$E1000,'Movimentações'!$C$2:$C1000,A487,'Movimentações'!$B$2:$B1000,"Entrada")-SUMIFS('Movimentações'!$E$2:$E1000,'Movimentações'!$C$2:$C1000,A487,'Movimentações'!$B$2:$B1000,"Saída"))</f>
        <v/>
      </c>
      <c r="F487" s="8" t="str">
        <f t="shared" si="2"/>
        <v/>
      </c>
      <c r="G487" s="8" t="str">
        <f t="shared" si="1"/>
        <v/>
      </c>
    </row>
    <row r="488" ht="15.75" customHeight="1">
      <c r="A488" s="8"/>
      <c r="B488" s="8"/>
      <c r="C488" s="8"/>
      <c r="D488" s="8"/>
      <c r="E488" s="8" t="str">
        <f>IF(A488="","",D488+SUMIFS('Movimentações'!$E$2:$E1000,'Movimentações'!$C$2:$C1000,A488,'Movimentações'!$B$2:$B1000,"Entrada")-SUMIFS('Movimentações'!$E$2:$E1000,'Movimentações'!$C$2:$C1000,A488,'Movimentações'!$B$2:$B1000,"Saída"))</f>
        <v/>
      </c>
      <c r="F488" s="8" t="str">
        <f t="shared" si="2"/>
        <v/>
      </c>
      <c r="G488" s="8" t="str">
        <f t="shared" si="1"/>
        <v/>
      </c>
    </row>
    <row r="489" ht="15.75" customHeight="1">
      <c r="A489" s="8"/>
      <c r="B489" s="8"/>
      <c r="C489" s="8"/>
      <c r="D489" s="8"/>
      <c r="E489" s="8" t="str">
        <f>IF(A489="","",D489+SUMIFS('Movimentações'!$E$2:$E1000,'Movimentações'!$C$2:$C1000,A489,'Movimentações'!$B$2:$B1000,"Entrada")-SUMIFS('Movimentações'!$E$2:$E1000,'Movimentações'!$C$2:$C1000,A489,'Movimentações'!$B$2:$B1000,"Saída"))</f>
        <v/>
      </c>
      <c r="F489" s="8" t="str">
        <f t="shared" si="2"/>
        <v/>
      </c>
      <c r="G489" s="8" t="str">
        <f t="shared" si="1"/>
        <v/>
      </c>
    </row>
    <row r="490" ht="15.75" customHeight="1">
      <c r="A490" s="8"/>
      <c r="B490" s="8"/>
      <c r="C490" s="8"/>
      <c r="D490" s="8"/>
      <c r="E490" s="8" t="str">
        <f>IF(A490="","",D490+SUMIFS('Movimentações'!$E$2:$E1000,'Movimentações'!$C$2:$C1000,A490,'Movimentações'!$B$2:$B1000,"Entrada")-SUMIFS('Movimentações'!$E$2:$E1000,'Movimentações'!$C$2:$C1000,A490,'Movimentações'!$B$2:$B1000,"Saída"))</f>
        <v/>
      </c>
      <c r="F490" s="8" t="str">
        <f t="shared" si="2"/>
        <v/>
      </c>
      <c r="G490" s="8" t="str">
        <f t="shared" si="1"/>
        <v/>
      </c>
    </row>
    <row r="491" ht="15.75" customHeight="1">
      <c r="A491" s="8"/>
      <c r="B491" s="8"/>
      <c r="C491" s="8"/>
      <c r="D491" s="8"/>
      <c r="E491" s="8" t="str">
        <f>IF(A491="","",D491+SUMIFS('Movimentações'!$E$2:$E1000,'Movimentações'!$C$2:$C1000,A491,'Movimentações'!$B$2:$B1000,"Entrada")-SUMIFS('Movimentações'!$E$2:$E1000,'Movimentações'!$C$2:$C1000,A491,'Movimentações'!$B$2:$B1000,"Saída"))</f>
        <v/>
      </c>
      <c r="F491" s="8" t="str">
        <f t="shared" si="2"/>
        <v/>
      </c>
      <c r="G491" s="8" t="str">
        <f t="shared" si="1"/>
        <v/>
      </c>
    </row>
    <row r="492" ht="15.75" customHeight="1">
      <c r="A492" s="8"/>
      <c r="B492" s="8"/>
      <c r="C492" s="8"/>
      <c r="D492" s="8"/>
      <c r="E492" s="8" t="str">
        <f>IF(A492="","",D492+SUMIFS('Movimentações'!$E$2:$E1000,'Movimentações'!$C$2:$C1000,A492,'Movimentações'!$B$2:$B1000,"Entrada")-SUMIFS('Movimentações'!$E$2:$E1000,'Movimentações'!$C$2:$C1000,A492,'Movimentações'!$B$2:$B1000,"Saída"))</f>
        <v/>
      </c>
      <c r="F492" s="8" t="str">
        <f t="shared" si="2"/>
        <v/>
      </c>
      <c r="G492" s="8" t="str">
        <f t="shared" si="1"/>
        <v/>
      </c>
    </row>
    <row r="493" ht="15.75" customHeight="1">
      <c r="A493" s="8"/>
      <c r="B493" s="8"/>
      <c r="C493" s="8"/>
      <c r="D493" s="8"/>
      <c r="E493" s="8" t="str">
        <f>IF(A493="","",D493+SUMIFS('Movimentações'!$E$2:$E1000,'Movimentações'!$C$2:$C1000,A493,'Movimentações'!$B$2:$B1000,"Entrada")-SUMIFS('Movimentações'!$E$2:$E1000,'Movimentações'!$C$2:$C1000,A493,'Movimentações'!$B$2:$B1000,"Saída"))</f>
        <v/>
      </c>
      <c r="F493" s="8" t="str">
        <f t="shared" si="2"/>
        <v/>
      </c>
      <c r="G493" s="8" t="str">
        <f t="shared" si="1"/>
        <v/>
      </c>
    </row>
    <row r="494" ht="15.75" customHeight="1">
      <c r="A494" s="8"/>
      <c r="B494" s="8"/>
      <c r="C494" s="8"/>
      <c r="D494" s="8"/>
      <c r="E494" s="8" t="str">
        <f>IF(A494="","",D494+SUMIFS('Movimentações'!$E$2:$E1000,'Movimentações'!$C$2:$C1000,A494,'Movimentações'!$B$2:$B1000,"Entrada")-SUMIFS('Movimentações'!$E$2:$E1000,'Movimentações'!$C$2:$C1000,A494,'Movimentações'!$B$2:$B1000,"Saída"))</f>
        <v/>
      </c>
      <c r="F494" s="8" t="str">
        <f t="shared" si="2"/>
        <v/>
      </c>
      <c r="G494" s="8" t="str">
        <f t="shared" si="1"/>
        <v/>
      </c>
    </row>
    <row r="495" ht="15.75" customHeight="1">
      <c r="A495" s="8"/>
      <c r="B495" s="8"/>
      <c r="C495" s="8"/>
      <c r="D495" s="8"/>
      <c r="E495" s="8" t="str">
        <f>IF(A495="","",D495+SUMIFS('Movimentações'!$E$2:$E1000,'Movimentações'!$C$2:$C1000,A495,'Movimentações'!$B$2:$B1000,"Entrada")-SUMIFS('Movimentações'!$E$2:$E1000,'Movimentações'!$C$2:$C1000,A495,'Movimentações'!$B$2:$B1000,"Saída"))</f>
        <v/>
      </c>
      <c r="F495" s="8" t="str">
        <f t="shared" si="2"/>
        <v/>
      </c>
      <c r="G495" s="8" t="str">
        <f t="shared" si="1"/>
        <v/>
      </c>
    </row>
    <row r="496" ht="15.75" customHeight="1">
      <c r="A496" s="8"/>
      <c r="B496" s="8"/>
      <c r="C496" s="8"/>
      <c r="D496" s="8"/>
      <c r="E496" s="8" t="str">
        <f>IF(A496="","",D496+SUMIFS('Movimentações'!$E$2:$E1000,'Movimentações'!$C$2:$C1000,A496,'Movimentações'!$B$2:$B1000,"Entrada")-SUMIFS('Movimentações'!$E$2:$E1000,'Movimentações'!$C$2:$C1000,A496,'Movimentações'!$B$2:$B1000,"Saída"))</f>
        <v/>
      </c>
      <c r="F496" s="8" t="str">
        <f t="shared" si="2"/>
        <v/>
      </c>
      <c r="G496" s="8" t="str">
        <f t="shared" si="1"/>
        <v/>
      </c>
    </row>
    <row r="497" ht="15.75" customHeight="1">
      <c r="A497" s="8"/>
      <c r="B497" s="8"/>
      <c r="C497" s="8"/>
      <c r="D497" s="8"/>
      <c r="E497" s="8" t="str">
        <f>IF(A497="","",D497+SUMIFS('Movimentações'!$E$2:$E1000,'Movimentações'!$C$2:$C1000,A497,'Movimentações'!$B$2:$B1000,"Entrada")-SUMIFS('Movimentações'!$E$2:$E1000,'Movimentações'!$C$2:$C1000,A497,'Movimentações'!$B$2:$B1000,"Saída"))</f>
        <v/>
      </c>
      <c r="F497" s="8" t="str">
        <f t="shared" si="2"/>
        <v/>
      </c>
      <c r="G497" s="8" t="str">
        <f t="shared" si="1"/>
        <v/>
      </c>
    </row>
    <row r="498" ht="15.75" customHeight="1">
      <c r="A498" s="8"/>
      <c r="B498" s="8"/>
      <c r="C498" s="8"/>
      <c r="D498" s="8"/>
      <c r="E498" s="8" t="str">
        <f>IF(A498="","",D498+SUMIFS('Movimentações'!$E$2:$E1000,'Movimentações'!$C$2:$C1000,A498,'Movimentações'!$B$2:$B1000,"Entrada")-SUMIFS('Movimentações'!$E$2:$E1000,'Movimentações'!$C$2:$C1000,A498,'Movimentações'!$B$2:$B1000,"Saída"))</f>
        <v/>
      </c>
      <c r="F498" s="8" t="str">
        <f t="shared" si="2"/>
        <v/>
      </c>
      <c r="G498" s="8" t="str">
        <f t="shared" si="1"/>
        <v/>
      </c>
    </row>
    <row r="499" ht="15.75" customHeight="1">
      <c r="A499" s="8"/>
      <c r="B499" s="8"/>
      <c r="C499" s="8"/>
      <c r="D499" s="8"/>
      <c r="E499" s="8" t="str">
        <f>IF(A499="","",D499+SUMIFS('Movimentações'!$E$2:$E1000,'Movimentações'!$C$2:$C1000,A499,'Movimentações'!$B$2:$B1000,"Entrada")-SUMIFS('Movimentações'!$E$2:$E1000,'Movimentações'!$C$2:$C1000,A499,'Movimentações'!$B$2:$B1000,"Saída"))</f>
        <v/>
      </c>
      <c r="F499" s="8" t="str">
        <f t="shared" si="2"/>
        <v/>
      </c>
      <c r="G499" s="8" t="str">
        <f t="shared" si="1"/>
        <v/>
      </c>
    </row>
    <row r="500" ht="15.75" customHeight="1">
      <c r="A500" s="8"/>
      <c r="B500" s="8"/>
      <c r="C500" s="8"/>
      <c r="D500" s="8"/>
      <c r="E500" s="8" t="str">
        <f>IF(A500="","",D500+SUMIFS('Movimentações'!$E$2:$E1000,'Movimentações'!$C$2:$C1000,A500,'Movimentações'!$B$2:$B1000,"Entrada")-SUMIFS('Movimentações'!$E$2:$E1000,'Movimentações'!$C$2:$C1000,A500,'Movimentações'!$B$2:$B1000,"Saída"))</f>
        <v/>
      </c>
      <c r="F500" s="8" t="str">
        <f t="shared" si="2"/>
        <v/>
      </c>
      <c r="G500" s="8" t="str">
        <f t="shared" si="1"/>
        <v/>
      </c>
    </row>
    <row r="501" ht="15.75" customHeight="1">
      <c r="A501" s="8"/>
      <c r="B501" s="8"/>
      <c r="C501" s="8"/>
      <c r="D501" s="8"/>
      <c r="E501" s="8" t="str">
        <f>IF(A501="","",D501+SUMIFS('Movimentações'!$E$2:$E1000,'Movimentações'!$C$2:$C1000,A501,'Movimentações'!$B$2:$B1000,"Entrada")-SUMIFS('Movimentações'!$E$2:$E1000,'Movimentações'!$C$2:$C1000,A501,'Movimentações'!$B$2:$B1000,"Saída"))</f>
        <v/>
      </c>
      <c r="F501" s="8" t="str">
        <f t="shared" si="2"/>
        <v/>
      </c>
      <c r="G501" s="8" t="str">
        <f t="shared" si="1"/>
        <v/>
      </c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autoFilter ref="$A$1:$F$501"/>
  <conditionalFormatting sqref="A2:G501">
    <cfRule type="expression" dxfId="0" priority="1">
      <formula>$E2=0</formula>
    </cfRule>
  </conditionalFormatting>
  <dataValidations>
    <dataValidation type="list" allowBlank="1" showErrorMessage="1" sqref="C2:C1000">
      <formula1>"Pacote,Unidade,Caixa,Tubos,Litro,Rolo,Metro,Frasco,Bloco,Galão"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16.0"/>
    <col customWidth="1" min="4" max="4" width="32.0"/>
    <col customWidth="1" min="5" max="5" width="16.0"/>
    <col customWidth="1" min="6" max="6" width="30.0"/>
    <col customWidth="1" min="7" max="26" width="8.71"/>
  </cols>
  <sheetData>
    <row r="1">
      <c r="A1" s="1" t="s">
        <v>1</v>
      </c>
      <c r="B1" s="1" t="s">
        <v>4</v>
      </c>
      <c r="C1" s="1" t="s">
        <v>0</v>
      </c>
      <c r="D1" s="1" t="s">
        <v>7</v>
      </c>
      <c r="E1" s="1" t="s">
        <v>8</v>
      </c>
      <c r="F1" s="1" t="s">
        <v>10</v>
      </c>
    </row>
    <row r="2">
      <c r="A2" s="4">
        <v>46246.0</v>
      </c>
      <c r="B2" s="7" t="s">
        <v>15</v>
      </c>
      <c r="C2" s="7" t="s">
        <v>18</v>
      </c>
      <c r="D2" s="8" t="str">
        <f t="array" ref="D2">IF(C2="","",IFERROR(_xlfn.XLOOKUP(C2,Estoque!$A:$A,Estoque!$B:$B,""),""))</f>
        <v>Ácido Fosfórico 37%</v>
      </c>
      <c r="E2" s="7">
        <v>1.0</v>
      </c>
      <c r="F2" s="7"/>
    </row>
    <row r="3">
      <c r="A3" s="4">
        <v>46259.0</v>
      </c>
      <c r="B3" s="7" t="s">
        <v>15</v>
      </c>
      <c r="C3" s="7" t="s">
        <v>36</v>
      </c>
      <c r="D3" s="8" t="str">
        <f t="array" ref="D3">IF(C3="","",IFERROR(_xlfn.XLOOKUP(C3,Estoque!$A:$A,Estoque!$B:$B,""),""))</f>
        <v>Avental de TNT</v>
      </c>
      <c r="E3" s="7">
        <v>2.0</v>
      </c>
      <c r="F3" s="8"/>
    </row>
    <row r="4">
      <c r="A4" s="4">
        <v>46259.0</v>
      </c>
      <c r="B4" s="7" t="s">
        <v>15</v>
      </c>
      <c r="C4" s="7" t="s">
        <v>37</v>
      </c>
      <c r="D4" s="8" t="str">
        <f t="array" ref="D4">IF(C4="","",IFERROR(_xlfn.XLOOKUP(C4,Estoque!$A:$A,Estoque!$B:$B,""),""))</f>
        <v>Gaze</v>
      </c>
      <c r="E4" s="7">
        <v>2.0</v>
      </c>
      <c r="F4" s="8"/>
    </row>
    <row r="5">
      <c r="A5" s="4">
        <v>46259.0</v>
      </c>
      <c r="B5" s="7" t="s">
        <v>15</v>
      </c>
      <c r="C5" s="7" t="s">
        <v>40</v>
      </c>
      <c r="D5" s="8" t="str">
        <f t="array" ref="D5">IF(C5="","",IFERROR(_xlfn.XLOOKUP(C5,Estoque!$A:$A,Estoque!$B:$B,""),""))</f>
        <v>Guardanapo</v>
      </c>
      <c r="E5" s="7">
        <v>2.0</v>
      </c>
      <c r="F5" s="8"/>
    </row>
    <row r="6">
      <c r="A6" s="4">
        <v>46259.0</v>
      </c>
      <c r="B6" s="7" t="s">
        <v>15</v>
      </c>
      <c r="C6" s="7" t="s">
        <v>41</v>
      </c>
      <c r="D6" s="8" t="str">
        <f t="array" ref="D6">IF(C6="","",IFERROR(_xlfn.XLOOKUP(C6,Estoque!$A:$A,Estoque!$B:$B,""),""))</f>
        <v>Água destilada</v>
      </c>
      <c r="E6" s="7">
        <v>1.0</v>
      </c>
      <c r="F6" s="8"/>
    </row>
    <row r="7">
      <c r="A7" s="4">
        <v>46259.0</v>
      </c>
      <c r="B7" s="7" t="s">
        <v>15</v>
      </c>
      <c r="C7" s="7" t="s">
        <v>43</v>
      </c>
      <c r="D7" s="8" t="str">
        <f t="array" ref="D7">IF(C7="","",IFERROR(_xlfn.XLOOKUP(C7,Estoque!$A:$A,Estoque!$B:$B,""),""))</f>
        <v>Álcool 70%</v>
      </c>
      <c r="E7" s="7">
        <v>1.0</v>
      </c>
      <c r="F7" s="8"/>
    </row>
    <row r="8">
      <c r="A8" s="4">
        <v>46259.0</v>
      </c>
      <c r="B8" s="7" t="s">
        <v>15</v>
      </c>
      <c r="C8" s="7" t="s">
        <v>46</v>
      </c>
      <c r="D8" s="8" t="str">
        <f t="array" ref="D8">IF(C8="","",IFERROR(_xlfn.XLOOKUP(C8,Estoque!$A:$A,Estoque!$B:$B,""),""))</f>
        <v>Babador</v>
      </c>
      <c r="E8" s="7">
        <v>1.0</v>
      </c>
      <c r="F8" s="8"/>
    </row>
    <row r="9">
      <c r="A9" s="9"/>
      <c r="B9" s="8"/>
      <c r="C9" s="8"/>
      <c r="D9" s="8" t="str">
        <f t="array" ref="D9">IF(C9="","",IFERROR(_xlfn.XLOOKUP(C9,Estoque!$A:$A,Estoque!$B:$B,""),""))</f>
        <v/>
      </c>
      <c r="E9" s="8"/>
      <c r="F9" s="8"/>
    </row>
    <row r="10">
      <c r="A10" s="9"/>
      <c r="B10" s="8"/>
      <c r="C10" s="8"/>
      <c r="D10" s="8" t="str">
        <f t="array" ref="D10">IF(C10="","",IFERROR(_xlfn.XLOOKUP(C10,Estoque!$A:$A,Estoque!$B:$B,""),""))</f>
        <v/>
      </c>
      <c r="E10" s="8"/>
      <c r="F10" s="8"/>
    </row>
    <row r="11">
      <c r="A11" s="9"/>
      <c r="B11" s="8"/>
      <c r="C11" s="8"/>
      <c r="D11" s="8" t="str">
        <f t="array" ref="D11">IF(C11="","",IFERROR(_xlfn.XLOOKUP(C11,Estoque!$A:$A,Estoque!$B:$B,""),""))</f>
        <v/>
      </c>
      <c r="E11" s="8"/>
      <c r="F11" s="8"/>
    </row>
    <row r="12">
      <c r="A12" s="9"/>
      <c r="B12" s="8"/>
      <c r="C12" s="8"/>
      <c r="D12" s="8" t="str">
        <f t="array" ref="D12">IF(C12="","",IFERROR(_xlfn.XLOOKUP(C12,Estoque!$A:$A,Estoque!$B:$B,""),""))</f>
        <v/>
      </c>
      <c r="E12" s="8"/>
      <c r="F12" s="8"/>
    </row>
    <row r="13">
      <c r="A13" s="9"/>
      <c r="B13" s="8"/>
      <c r="C13" s="8"/>
      <c r="D13" s="8" t="str">
        <f t="array" ref="D13">IF(C13="","",IFERROR(_xlfn.XLOOKUP(C13,Estoque!$A:$A,Estoque!$B:$B,""),""))</f>
        <v/>
      </c>
      <c r="E13" s="8"/>
      <c r="F13" s="8"/>
    </row>
    <row r="14">
      <c r="A14" s="9"/>
      <c r="B14" s="8"/>
      <c r="C14" s="8"/>
      <c r="D14" s="8" t="str">
        <f t="array" ref="D14">IF(C14="","",IFERROR(_xlfn.XLOOKUP(C14,Estoque!$A:$A,Estoque!$B:$B,""),""))</f>
        <v/>
      </c>
      <c r="E14" s="8"/>
      <c r="F14" s="8"/>
    </row>
    <row r="15">
      <c r="A15" s="9"/>
      <c r="B15" s="8"/>
      <c r="C15" s="8"/>
      <c r="D15" s="8" t="str">
        <f t="array" ref="D15">IF(C15="","",IFERROR(_xlfn.XLOOKUP(C15,Estoque!$A:$A,Estoque!$B:$B,""),""))</f>
        <v/>
      </c>
      <c r="E15" s="8"/>
      <c r="F15" s="8"/>
    </row>
    <row r="16">
      <c r="A16" s="9"/>
      <c r="B16" s="8"/>
      <c r="C16" s="8"/>
      <c r="D16" s="8" t="str">
        <f t="array" ref="D16">IF(C16="","",IFERROR(_xlfn.XLOOKUP(C16,Estoque!$A:$A,Estoque!$B:$B,""),""))</f>
        <v/>
      </c>
      <c r="E16" s="8"/>
      <c r="F16" s="8"/>
    </row>
    <row r="17">
      <c r="A17" s="9"/>
      <c r="B17" s="8"/>
      <c r="C17" s="8"/>
      <c r="D17" s="8" t="str">
        <f t="array" ref="D17">IF(C17="","",IFERROR(_xlfn.XLOOKUP(C17,Estoque!$A:$A,Estoque!$B:$B,""),""))</f>
        <v/>
      </c>
      <c r="E17" s="8"/>
      <c r="F17" s="8"/>
    </row>
    <row r="18">
      <c r="A18" s="9"/>
      <c r="B18" s="8"/>
      <c r="C18" s="8"/>
      <c r="D18" s="8" t="str">
        <f t="array" ref="D18">IF(C18="","",IFERROR(_xlfn.XLOOKUP(C18,Estoque!$A:$A,Estoque!$B:$B,""),""))</f>
        <v/>
      </c>
      <c r="E18" s="8"/>
      <c r="F18" s="8"/>
    </row>
    <row r="19">
      <c r="A19" s="9"/>
      <c r="B19" s="8"/>
      <c r="C19" s="8"/>
      <c r="D19" s="8" t="str">
        <f t="array" ref="D19">IF(C19="","",IFERROR(_xlfn.XLOOKUP(C19,Estoque!$A:$A,Estoque!$B:$B,""),""))</f>
        <v/>
      </c>
      <c r="E19" s="8"/>
      <c r="F19" s="8"/>
    </row>
    <row r="20">
      <c r="A20" s="9"/>
      <c r="B20" s="8"/>
      <c r="C20" s="8"/>
      <c r="D20" s="8" t="str">
        <f t="array" ref="D20">IF(C20="","",IFERROR(_xlfn.XLOOKUP(C20,Estoque!$A:$A,Estoque!$B:$B,""),""))</f>
        <v/>
      </c>
      <c r="E20" s="8"/>
      <c r="F20" s="8"/>
    </row>
    <row r="21" ht="15.75" customHeight="1">
      <c r="A21" s="9"/>
      <c r="B21" s="8"/>
      <c r="C21" s="8"/>
      <c r="D21" s="8" t="str">
        <f t="array" ref="D21">IF(C21="","",IFERROR(_xlfn.XLOOKUP(C21,Estoque!$A:$A,Estoque!$B:$B,""),""))</f>
        <v/>
      </c>
      <c r="E21" s="8"/>
      <c r="F21" s="8"/>
    </row>
    <row r="22" ht="15.75" customHeight="1">
      <c r="A22" s="9"/>
      <c r="B22" s="8"/>
      <c r="C22" s="8"/>
      <c r="D22" s="8" t="str">
        <f t="array" ref="D22">IF(C22="","",IFERROR(_xlfn.XLOOKUP(C22,Estoque!$A:$A,Estoque!$B:$B,""),""))</f>
        <v/>
      </c>
      <c r="E22" s="8"/>
      <c r="F22" s="8"/>
    </row>
    <row r="23" ht="15.75" customHeight="1">
      <c r="A23" s="9"/>
      <c r="B23" s="8"/>
      <c r="C23" s="8"/>
      <c r="D23" s="8" t="str">
        <f t="array" ref="D23">IF(C23="","",IFERROR(_xlfn.XLOOKUP(C23,Estoque!$A:$A,Estoque!$B:$B,""),""))</f>
        <v/>
      </c>
      <c r="E23" s="8"/>
      <c r="F23" s="8"/>
    </row>
    <row r="24" ht="15.75" customHeight="1">
      <c r="A24" s="9"/>
      <c r="B24" s="8"/>
      <c r="C24" s="8"/>
      <c r="D24" s="8" t="str">
        <f t="array" ref="D24">IF(C24="","",IFERROR(_xlfn.XLOOKUP(C24,Estoque!$A:$A,Estoque!$B:$B,""),""))</f>
        <v/>
      </c>
      <c r="E24" s="8"/>
      <c r="F24" s="8"/>
    </row>
    <row r="25" ht="15.75" customHeight="1">
      <c r="A25" s="9"/>
      <c r="B25" s="8"/>
      <c r="C25" s="8"/>
      <c r="D25" s="8" t="str">
        <f t="array" ref="D25">IF(C25="","",IFERROR(_xlfn.XLOOKUP(C25,Estoque!$A:$A,Estoque!$B:$B,""),""))</f>
        <v/>
      </c>
      <c r="E25" s="8"/>
      <c r="F25" s="8"/>
    </row>
    <row r="26" ht="15.75" customHeight="1">
      <c r="A26" s="9"/>
      <c r="B26" s="8"/>
      <c r="C26" s="8"/>
      <c r="D26" s="8" t="str">
        <f t="array" ref="D26">IF(C26="","",IFERROR(_xlfn.XLOOKUP(C26,Estoque!$A:$A,Estoque!$B:$B,""),""))</f>
        <v/>
      </c>
      <c r="E26" s="8"/>
      <c r="F26" s="8"/>
    </row>
    <row r="27" ht="15.75" customHeight="1">
      <c r="A27" s="9"/>
      <c r="B27" s="8"/>
      <c r="C27" s="8"/>
      <c r="D27" s="8" t="str">
        <f t="array" ref="D27">IF(C27="","",IFERROR(_xlfn.XLOOKUP(C27,Estoque!$A:$A,Estoque!$B:$B,""),""))</f>
        <v/>
      </c>
      <c r="E27" s="8"/>
      <c r="F27" s="8"/>
    </row>
    <row r="28" ht="15.75" customHeight="1">
      <c r="A28" s="9"/>
      <c r="B28" s="8"/>
      <c r="C28" s="8"/>
      <c r="D28" s="8" t="str">
        <f t="array" ref="D28">IF(C28="","",IFERROR(_xlfn.XLOOKUP(C28,Estoque!$A:$A,Estoque!$B:$B,""),""))</f>
        <v/>
      </c>
      <c r="E28" s="8"/>
      <c r="F28" s="8"/>
    </row>
    <row r="29" ht="15.75" customHeight="1">
      <c r="A29" s="9"/>
      <c r="B29" s="8"/>
      <c r="C29" s="8"/>
      <c r="D29" s="8" t="str">
        <f t="array" ref="D29">IF(C29="","",IFERROR(_xlfn.XLOOKUP(C29,Estoque!$A:$A,Estoque!$B:$B,""),""))</f>
        <v/>
      </c>
      <c r="E29" s="8"/>
      <c r="F29" s="8"/>
    </row>
    <row r="30" ht="15.75" customHeight="1">
      <c r="A30" s="9"/>
      <c r="B30" s="8"/>
      <c r="C30" s="8"/>
      <c r="D30" s="8" t="str">
        <f t="array" ref="D30">IF(C30="","",IFERROR(_xlfn.XLOOKUP(C30,Estoque!$A:$A,Estoque!$B:$B,""),""))</f>
        <v/>
      </c>
      <c r="E30" s="8"/>
      <c r="F30" s="8"/>
    </row>
    <row r="31" ht="15.75" customHeight="1">
      <c r="A31" s="9"/>
      <c r="B31" s="8"/>
      <c r="C31" s="8"/>
      <c r="D31" s="8" t="str">
        <f t="array" ref="D31">IF(C31="","",IFERROR(_xlfn.XLOOKUP(C31,Estoque!$A:$A,Estoque!$B:$B,""),""))</f>
        <v/>
      </c>
      <c r="E31" s="8"/>
      <c r="F31" s="8"/>
    </row>
    <row r="32" ht="15.75" customHeight="1">
      <c r="A32" s="9"/>
      <c r="B32" s="8"/>
      <c r="C32" s="8"/>
      <c r="D32" s="8" t="str">
        <f t="array" ref="D32">IF(C32="","",IFERROR(_xlfn.XLOOKUP(C32,Estoque!$A:$A,Estoque!$B:$B,""),""))</f>
        <v/>
      </c>
      <c r="E32" s="8"/>
      <c r="F32" s="8"/>
    </row>
    <row r="33" ht="15.75" customHeight="1">
      <c r="A33" s="9"/>
      <c r="B33" s="8"/>
      <c r="C33" s="8"/>
      <c r="D33" s="8" t="str">
        <f t="array" ref="D33">IF(C33="","",IFERROR(_xlfn.XLOOKUP(C33,Estoque!$A:$A,Estoque!$B:$B,""),""))</f>
        <v/>
      </c>
      <c r="E33" s="8"/>
      <c r="F33" s="8"/>
    </row>
    <row r="34" ht="15.75" customHeight="1">
      <c r="A34" s="9"/>
      <c r="B34" s="8"/>
      <c r="C34" s="8"/>
      <c r="D34" s="8" t="str">
        <f t="array" ref="D34">IF(C34="","",IFERROR(_xlfn.XLOOKUP(C34,Estoque!$A:$A,Estoque!$B:$B,""),""))</f>
        <v/>
      </c>
      <c r="E34" s="8"/>
      <c r="F34" s="8"/>
    </row>
    <row r="35" ht="15.75" customHeight="1">
      <c r="A35" s="9"/>
      <c r="B35" s="8"/>
      <c r="C35" s="8"/>
      <c r="D35" s="8" t="str">
        <f t="array" ref="D35">IF(C35="","",IFERROR(_xlfn.XLOOKUP(C35,Estoque!$A:$A,Estoque!$B:$B,""),""))</f>
        <v/>
      </c>
      <c r="E35" s="8"/>
      <c r="F35" s="8"/>
    </row>
    <row r="36" ht="15.75" customHeight="1">
      <c r="A36" s="9"/>
      <c r="B36" s="8"/>
      <c r="C36" s="8"/>
      <c r="D36" s="8" t="str">
        <f t="array" ref="D36">IF(C36="","",IFERROR(_xlfn.XLOOKUP(C36,Estoque!$A:$A,Estoque!$B:$B,""),""))</f>
        <v/>
      </c>
      <c r="E36" s="8"/>
      <c r="F36" s="8"/>
    </row>
    <row r="37" ht="15.75" customHeight="1">
      <c r="A37" s="9"/>
      <c r="B37" s="8"/>
      <c r="C37" s="8"/>
      <c r="D37" s="8" t="str">
        <f t="array" ref="D37">IF(C37="","",IFERROR(_xlfn.XLOOKUP(C37,Estoque!$A:$A,Estoque!$B:$B,""),""))</f>
        <v/>
      </c>
      <c r="E37" s="8"/>
      <c r="F37" s="8"/>
    </row>
    <row r="38" ht="15.75" customHeight="1">
      <c r="A38" s="9"/>
      <c r="B38" s="8"/>
      <c r="C38" s="8"/>
      <c r="D38" s="8" t="str">
        <f t="array" ref="D38">IF(C38="","",IFERROR(_xlfn.XLOOKUP(C38,Estoque!$A:$A,Estoque!$B:$B,""),""))</f>
        <v/>
      </c>
      <c r="E38" s="8"/>
      <c r="F38" s="8"/>
    </row>
    <row r="39" ht="15.75" customHeight="1">
      <c r="A39" s="9"/>
      <c r="B39" s="8"/>
      <c r="C39" s="8"/>
      <c r="D39" s="8" t="str">
        <f t="array" ref="D39">IF(C39="","",IFERROR(_xlfn.XLOOKUP(C39,Estoque!$A:$A,Estoque!$B:$B,""),""))</f>
        <v/>
      </c>
      <c r="E39" s="8"/>
      <c r="F39" s="8"/>
    </row>
    <row r="40" ht="15.75" customHeight="1">
      <c r="A40" s="9"/>
      <c r="B40" s="8"/>
      <c r="C40" s="8"/>
      <c r="D40" s="8" t="str">
        <f t="array" ref="D40">IF(C40="","",IFERROR(_xlfn.XLOOKUP(C40,Estoque!$A:$A,Estoque!$B:$B,""),""))</f>
        <v/>
      </c>
      <c r="E40" s="8"/>
      <c r="F40" s="8"/>
    </row>
    <row r="41" ht="15.75" customHeight="1">
      <c r="A41" s="9"/>
      <c r="B41" s="8"/>
      <c r="C41" s="8"/>
      <c r="D41" s="8" t="str">
        <f t="array" ref="D41">IF(C41="","",IFERROR(_xlfn.XLOOKUP(C41,Estoque!$A:$A,Estoque!$B:$B,""),""))</f>
        <v/>
      </c>
      <c r="E41" s="8"/>
      <c r="F41" s="8"/>
    </row>
    <row r="42" ht="15.75" customHeight="1">
      <c r="A42" s="9"/>
      <c r="B42" s="8"/>
      <c r="C42" s="8"/>
      <c r="D42" s="8" t="str">
        <f t="array" ref="D42">IF(C42="","",IFERROR(_xlfn.XLOOKUP(C42,Estoque!$A:$A,Estoque!$B:$B,""),""))</f>
        <v/>
      </c>
      <c r="E42" s="8"/>
      <c r="F42" s="8"/>
    </row>
    <row r="43" ht="15.75" customHeight="1">
      <c r="A43" s="9"/>
      <c r="B43" s="8"/>
      <c r="C43" s="8"/>
      <c r="D43" s="8" t="str">
        <f t="array" ref="D43">IF(C43="","",IFERROR(_xlfn.XLOOKUP(C43,Estoque!$A:$A,Estoque!$B:$B,""),""))</f>
        <v/>
      </c>
      <c r="E43" s="8"/>
      <c r="F43" s="8"/>
    </row>
    <row r="44" ht="15.75" customHeight="1">
      <c r="A44" s="9"/>
      <c r="B44" s="8"/>
      <c r="C44" s="8"/>
      <c r="D44" s="8" t="str">
        <f t="array" ref="D44">IF(C44="","",IFERROR(_xlfn.XLOOKUP(C44,Estoque!$A:$A,Estoque!$B:$B,""),""))</f>
        <v/>
      </c>
      <c r="E44" s="8"/>
      <c r="F44" s="8"/>
    </row>
    <row r="45" ht="15.75" customHeight="1">
      <c r="A45" s="9"/>
      <c r="B45" s="8"/>
      <c r="C45" s="8"/>
      <c r="D45" s="8" t="str">
        <f t="array" ref="D45">IF(C45="","",IFERROR(_xlfn.XLOOKUP(C45,Estoque!$A:$A,Estoque!$B:$B,""),""))</f>
        <v/>
      </c>
      <c r="E45" s="8"/>
      <c r="F45" s="8"/>
    </row>
    <row r="46" ht="15.75" customHeight="1">
      <c r="A46" s="9"/>
      <c r="B46" s="8"/>
      <c r="C46" s="8"/>
      <c r="D46" s="8" t="str">
        <f t="array" ref="D46">IF(C46="","",IFERROR(_xlfn.XLOOKUP(C46,Estoque!$A:$A,Estoque!$B:$B,""),""))</f>
        <v/>
      </c>
      <c r="E46" s="8"/>
      <c r="F46" s="8"/>
    </row>
    <row r="47" ht="15.75" customHeight="1">
      <c r="A47" s="9"/>
      <c r="B47" s="8"/>
      <c r="C47" s="8"/>
      <c r="D47" s="8" t="str">
        <f t="array" ref="D47">IF(C47="","",IFERROR(_xlfn.XLOOKUP(C47,Estoque!$A:$A,Estoque!$B:$B,""),""))</f>
        <v/>
      </c>
      <c r="E47" s="8"/>
      <c r="F47" s="8"/>
    </row>
    <row r="48" ht="15.75" customHeight="1">
      <c r="A48" s="9"/>
      <c r="B48" s="8"/>
      <c r="C48" s="8"/>
      <c r="D48" s="8" t="str">
        <f t="array" ref="D48">IF(C48="","",IFERROR(_xlfn.XLOOKUP(C48,Estoque!$A:$A,Estoque!$B:$B,""),""))</f>
        <v/>
      </c>
      <c r="E48" s="8"/>
      <c r="F48" s="8"/>
    </row>
    <row r="49" ht="15.75" customHeight="1">
      <c r="A49" s="9"/>
      <c r="B49" s="8"/>
      <c r="C49" s="8"/>
      <c r="D49" s="8" t="str">
        <f t="array" ref="D49">IF(C49="","",IFERROR(_xlfn.XLOOKUP(C49,Estoque!$A:$A,Estoque!$B:$B,""),""))</f>
        <v/>
      </c>
      <c r="E49" s="8"/>
      <c r="F49" s="8"/>
    </row>
    <row r="50" ht="15.75" customHeight="1">
      <c r="A50" s="9"/>
      <c r="B50" s="8"/>
      <c r="C50" s="8"/>
      <c r="D50" s="8" t="str">
        <f t="array" ref="D50">IF(C50="","",IFERROR(_xlfn.XLOOKUP(C50,Estoque!$A:$A,Estoque!$B:$B,""),""))</f>
        <v/>
      </c>
      <c r="E50" s="8"/>
      <c r="F50" s="8"/>
    </row>
    <row r="51" ht="15.75" customHeight="1">
      <c r="A51" s="9"/>
      <c r="B51" s="8"/>
      <c r="C51" s="8"/>
      <c r="D51" s="8" t="str">
        <f t="array" ref="D51">IF(C51="","",IFERROR(_xlfn.XLOOKUP(C51,Estoque!$A:$A,Estoque!$B:$B,""),""))</f>
        <v/>
      </c>
      <c r="E51" s="8"/>
      <c r="F51" s="8"/>
    </row>
    <row r="52" ht="15.75" customHeight="1">
      <c r="A52" s="9"/>
      <c r="B52" s="8"/>
      <c r="C52" s="8"/>
      <c r="D52" s="8" t="str">
        <f t="array" ref="D52">IF(C52="","",IFERROR(_xlfn.XLOOKUP(C52,Estoque!$A:$A,Estoque!$B:$B,""),""))</f>
        <v/>
      </c>
      <c r="E52" s="8"/>
      <c r="F52" s="8"/>
    </row>
    <row r="53" ht="15.75" customHeight="1">
      <c r="A53" s="9"/>
      <c r="B53" s="8"/>
      <c r="C53" s="8"/>
      <c r="D53" s="8" t="str">
        <f t="array" ref="D53">IF(C53="","",IFERROR(_xlfn.XLOOKUP(C53,Estoque!$A:$A,Estoque!$B:$B,""),""))</f>
        <v/>
      </c>
      <c r="E53" s="8"/>
      <c r="F53" s="8"/>
    </row>
    <row r="54" ht="15.75" customHeight="1">
      <c r="A54" s="9"/>
      <c r="B54" s="8"/>
      <c r="C54" s="8"/>
      <c r="D54" s="8" t="str">
        <f t="array" ref="D54">IF(C54="","",IFERROR(_xlfn.XLOOKUP(C54,Estoque!$A:$A,Estoque!$B:$B,""),""))</f>
        <v/>
      </c>
      <c r="E54" s="8"/>
      <c r="F54" s="8"/>
    </row>
    <row r="55" ht="15.75" customHeight="1">
      <c r="A55" s="9"/>
      <c r="B55" s="8"/>
      <c r="C55" s="8"/>
      <c r="D55" s="8" t="str">
        <f t="array" ref="D55">IF(C55="","",IFERROR(_xlfn.XLOOKUP(C55,Estoque!$A:$A,Estoque!$B:$B,""),""))</f>
        <v/>
      </c>
      <c r="E55" s="8"/>
      <c r="F55" s="8"/>
    </row>
    <row r="56" ht="15.75" customHeight="1">
      <c r="A56" s="9"/>
      <c r="B56" s="8"/>
      <c r="C56" s="8"/>
      <c r="D56" s="8" t="str">
        <f t="array" ref="D56">IF(C56="","",IFERROR(_xlfn.XLOOKUP(C56,Estoque!$A:$A,Estoque!$B:$B,""),""))</f>
        <v/>
      </c>
      <c r="E56" s="8"/>
      <c r="F56" s="8"/>
    </row>
    <row r="57" ht="15.75" customHeight="1">
      <c r="A57" s="9"/>
      <c r="B57" s="8"/>
      <c r="C57" s="8"/>
      <c r="D57" s="8" t="str">
        <f t="array" ref="D57">IF(C57="","",IFERROR(_xlfn.XLOOKUP(C57,Estoque!$A:$A,Estoque!$B:$B,""),""))</f>
        <v/>
      </c>
      <c r="E57" s="8"/>
      <c r="F57" s="8"/>
    </row>
    <row r="58" ht="15.75" customHeight="1">
      <c r="A58" s="9"/>
      <c r="B58" s="8"/>
      <c r="C58" s="8"/>
      <c r="D58" s="8" t="str">
        <f t="array" ref="D58">IF(C58="","",IFERROR(_xlfn.XLOOKUP(C58,Estoque!$A:$A,Estoque!$B:$B,""),""))</f>
        <v/>
      </c>
      <c r="E58" s="8"/>
      <c r="F58" s="8"/>
    </row>
    <row r="59" ht="15.75" customHeight="1">
      <c r="A59" s="9"/>
      <c r="B59" s="8"/>
      <c r="C59" s="8"/>
      <c r="D59" s="8" t="str">
        <f t="array" ref="D59">IF(C59="","",IFERROR(_xlfn.XLOOKUP(C59,Estoque!$A:$A,Estoque!$B:$B,""),""))</f>
        <v/>
      </c>
      <c r="E59" s="8"/>
      <c r="F59" s="8"/>
    </row>
    <row r="60" ht="15.75" customHeight="1">
      <c r="A60" s="9"/>
      <c r="B60" s="8"/>
      <c r="C60" s="8"/>
      <c r="D60" s="8" t="str">
        <f t="array" ref="D60">IF(C60="","",IFERROR(_xlfn.XLOOKUP(C60,Estoque!$A:$A,Estoque!$B:$B,""),""))</f>
        <v/>
      </c>
      <c r="E60" s="8"/>
      <c r="F60" s="8"/>
    </row>
    <row r="61" ht="15.75" customHeight="1">
      <c r="A61" s="9"/>
      <c r="B61" s="8"/>
      <c r="C61" s="8"/>
      <c r="D61" s="8" t="str">
        <f t="array" ref="D61">IF(C61="","",IFERROR(_xlfn.XLOOKUP(C61,Estoque!$A:$A,Estoque!$B:$B,""),""))</f>
        <v/>
      </c>
      <c r="E61" s="8"/>
      <c r="F61" s="8"/>
    </row>
    <row r="62" ht="15.75" customHeight="1">
      <c r="A62" s="9"/>
      <c r="B62" s="8"/>
      <c r="C62" s="8"/>
      <c r="D62" s="8" t="str">
        <f t="array" ref="D62">IF(C62="","",IFERROR(_xlfn.XLOOKUP(C62,Estoque!$A:$A,Estoque!$B:$B,""),""))</f>
        <v/>
      </c>
      <c r="E62" s="8"/>
      <c r="F62" s="8"/>
    </row>
    <row r="63" ht="15.75" customHeight="1">
      <c r="A63" s="9"/>
      <c r="B63" s="8"/>
      <c r="C63" s="8"/>
      <c r="D63" s="8" t="str">
        <f t="array" ref="D63">IF(C63="","",IFERROR(_xlfn.XLOOKUP(C63,Estoque!$A:$A,Estoque!$B:$B,""),""))</f>
        <v/>
      </c>
      <c r="E63" s="8"/>
      <c r="F63" s="8"/>
    </row>
    <row r="64" ht="15.75" customHeight="1">
      <c r="A64" s="9"/>
      <c r="B64" s="8"/>
      <c r="C64" s="8"/>
      <c r="D64" s="8" t="str">
        <f t="array" ref="D64">IF(C64="","",IFERROR(_xlfn.XLOOKUP(C64,Estoque!$A:$A,Estoque!$B:$B,""),""))</f>
        <v/>
      </c>
      <c r="E64" s="8"/>
      <c r="F64" s="8"/>
    </row>
    <row r="65" ht="15.75" customHeight="1">
      <c r="A65" s="9"/>
      <c r="B65" s="8"/>
      <c r="C65" s="8"/>
      <c r="D65" s="8" t="str">
        <f t="array" ref="D65">IF(C65="","",IFERROR(_xlfn.XLOOKUP(C65,Estoque!$A:$A,Estoque!$B:$B,""),""))</f>
        <v/>
      </c>
      <c r="E65" s="8"/>
      <c r="F65" s="8"/>
    </row>
    <row r="66" ht="15.75" customHeight="1">
      <c r="A66" s="9"/>
      <c r="B66" s="8"/>
      <c r="C66" s="8"/>
      <c r="D66" s="8" t="str">
        <f t="array" ref="D66">IF(C66="","",IFERROR(_xlfn.XLOOKUP(C66,Estoque!$A:$A,Estoque!$B:$B,""),""))</f>
        <v/>
      </c>
      <c r="E66" s="8"/>
      <c r="F66" s="8"/>
    </row>
    <row r="67" ht="15.75" customHeight="1">
      <c r="A67" s="9"/>
      <c r="B67" s="8"/>
      <c r="C67" s="8"/>
      <c r="D67" s="8" t="str">
        <f t="array" ref="D67">IF(C67="","",IFERROR(_xlfn.XLOOKUP(C67,Estoque!$A:$A,Estoque!$B:$B,""),""))</f>
        <v/>
      </c>
      <c r="E67" s="8"/>
      <c r="F67" s="8"/>
    </row>
    <row r="68" ht="15.75" customHeight="1">
      <c r="A68" s="9"/>
      <c r="B68" s="8"/>
      <c r="C68" s="8"/>
      <c r="D68" s="8" t="str">
        <f t="array" ref="D68">IF(C68="","",IFERROR(_xlfn.XLOOKUP(C68,Estoque!$A:$A,Estoque!$B:$B,""),""))</f>
        <v/>
      </c>
      <c r="E68" s="8"/>
      <c r="F68" s="8"/>
    </row>
    <row r="69" ht="15.75" customHeight="1">
      <c r="A69" s="9"/>
      <c r="B69" s="8"/>
      <c r="C69" s="8"/>
      <c r="D69" s="8" t="str">
        <f t="array" ref="D69">IF(C69="","",IFERROR(_xlfn.XLOOKUP(C69,Estoque!$A:$A,Estoque!$B:$B,""),""))</f>
        <v/>
      </c>
      <c r="E69" s="8"/>
      <c r="F69" s="8"/>
    </row>
    <row r="70" ht="15.75" customHeight="1">
      <c r="A70" s="9"/>
      <c r="B70" s="8"/>
      <c r="C70" s="8"/>
      <c r="D70" s="8" t="str">
        <f t="array" ref="D70">IF(C70="","",IFERROR(_xlfn.XLOOKUP(C70,Estoque!$A:$A,Estoque!$B:$B,""),""))</f>
        <v/>
      </c>
      <c r="E70" s="8"/>
      <c r="F70" s="8"/>
    </row>
    <row r="71" ht="15.75" customHeight="1">
      <c r="A71" s="9"/>
      <c r="B71" s="8"/>
      <c r="C71" s="8"/>
      <c r="D71" s="8" t="str">
        <f t="array" ref="D71">IF(C71="","",IFERROR(_xlfn.XLOOKUP(C71,Estoque!$A:$A,Estoque!$B:$B,""),""))</f>
        <v/>
      </c>
      <c r="E71" s="8"/>
      <c r="F71" s="8"/>
    </row>
    <row r="72" ht="15.75" customHeight="1">
      <c r="A72" s="9"/>
      <c r="B72" s="8"/>
      <c r="C72" s="8"/>
      <c r="D72" s="8" t="str">
        <f t="array" ref="D72">IF(C72="","",IFERROR(_xlfn.XLOOKUP(C72,Estoque!$A:$A,Estoque!$B:$B,""),""))</f>
        <v/>
      </c>
      <c r="E72" s="8"/>
      <c r="F72" s="8"/>
    </row>
    <row r="73" ht="15.75" customHeight="1">
      <c r="A73" s="9"/>
      <c r="B73" s="8"/>
      <c r="C73" s="8"/>
      <c r="D73" s="8" t="str">
        <f t="array" ref="D73">IF(C73="","",IFERROR(_xlfn.XLOOKUP(C73,Estoque!$A:$A,Estoque!$B:$B,""),""))</f>
        <v/>
      </c>
      <c r="E73" s="8"/>
      <c r="F73" s="8"/>
    </row>
    <row r="74" ht="15.75" customHeight="1">
      <c r="A74" s="9"/>
      <c r="B74" s="8"/>
      <c r="C74" s="8"/>
      <c r="D74" s="8" t="str">
        <f t="array" ref="D74">IF(C74="","",IFERROR(_xlfn.XLOOKUP(C74,Estoque!$A:$A,Estoque!$B:$B,""),""))</f>
        <v/>
      </c>
      <c r="E74" s="8"/>
      <c r="F74" s="8"/>
    </row>
    <row r="75" ht="15.75" customHeight="1">
      <c r="A75" s="9"/>
      <c r="B75" s="8"/>
      <c r="C75" s="8"/>
      <c r="D75" s="8" t="str">
        <f t="array" ref="D75">IF(C75="","",IFERROR(_xlfn.XLOOKUP(C75,Estoque!$A:$A,Estoque!$B:$B,""),""))</f>
        <v/>
      </c>
      <c r="E75" s="8"/>
      <c r="F75" s="8"/>
    </row>
    <row r="76" ht="15.75" customHeight="1">
      <c r="A76" s="9"/>
      <c r="B76" s="8"/>
      <c r="C76" s="8"/>
      <c r="D76" s="8" t="str">
        <f t="array" ref="D76">IF(C76="","",IFERROR(_xlfn.XLOOKUP(C76,Estoque!$A:$A,Estoque!$B:$B,""),""))</f>
        <v/>
      </c>
      <c r="E76" s="8"/>
      <c r="F76" s="8"/>
    </row>
    <row r="77" ht="15.75" customHeight="1">
      <c r="A77" s="9"/>
      <c r="B77" s="8"/>
      <c r="C77" s="8"/>
      <c r="D77" s="8" t="str">
        <f t="array" ref="D77">IF(C77="","",IFERROR(_xlfn.XLOOKUP(C77,Estoque!$A:$A,Estoque!$B:$B,""),""))</f>
        <v/>
      </c>
      <c r="E77" s="8"/>
      <c r="F77" s="8"/>
    </row>
    <row r="78" ht="15.75" customHeight="1">
      <c r="A78" s="9"/>
      <c r="B78" s="8"/>
      <c r="C78" s="8"/>
      <c r="D78" s="8" t="str">
        <f t="array" ref="D78">IF(C78="","",IFERROR(_xlfn.XLOOKUP(C78,Estoque!$A:$A,Estoque!$B:$B,""),""))</f>
        <v/>
      </c>
      <c r="E78" s="8"/>
      <c r="F78" s="8"/>
    </row>
    <row r="79" ht="15.75" customHeight="1">
      <c r="A79" s="9"/>
      <c r="B79" s="8"/>
      <c r="C79" s="8"/>
      <c r="D79" s="8" t="str">
        <f t="array" ref="D79">IF(C79="","",IFERROR(_xlfn.XLOOKUP(C79,Estoque!$A:$A,Estoque!$B:$B,""),""))</f>
        <v/>
      </c>
      <c r="E79" s="8"/>
      <c r="F79" s="8"/>
    </row>
    <row r="80" ht="15.75" customHeight="1">
      <c r="A80" s="9"/>
      <c r="B80" s="8"/>
      <c r="C80" s="8"/>
      <c r="D80" s="8" t="str">
        <f t="array" ref="D80">IF(C80="","",IFERROR(_xlfn.XLOOKUP(C80,Estoque!$A:$A,Estoque!$B:$B,""),""))</f>
        <v/>
      </c>
      <c r="E80" s="8"/>
      <c r="F80" s="8"/>
    </row>
    <row r="81" ht="15.75" customHeight="1">
      <c r="A81" s="9"/>
      <c r="B81" s="8"/>
      <c r="C81" s="8"/>
      <c r="D81" s="8" t="str">
        <f t="array" ref="D81">IF(C81="","",IFERROR(_xlfn.XLOOKUP(C81,Estoque!$A:$A,Estoque!$B:$B,""),""))</f>
        <v/>
      </c>
      <c r="E81" s="8"/>
      <c r="F81" s="8"/>
    </row>
    <row r="82" ht="15.75" customHeight="1">
      <c r="A82" s="9"/>
      <c r="B82" s="8"/>
      <c r="C82" s="8"/>
      <c r="D82" s="8" t="str">
        <f t="array" ref="D82">IF(C82="","",IFERROR(_xlfn.XLOOKUP(C82,Estoque!$A:$A,Estoque!$B:$B,""),""))</f>
        <v/>
      </c>
      <c r="E82" s="8"/>
      <c r="F82" s="8"/>
    </row>
    <row r="83" ht="15.75" customHeight="1">
      <c r="A83" s="9"/>
      <c r="B83" s="8"/>
      <c r="C83" s="8"/>
      <c r="D83" s="8" t="str">
        <f t="array" ref="D83">IF(C83="","",IFERROR(_xlfn.XLOOKUP(C83,Estoque!$A:$A,Estoque!$B:$B,""),""))</f>
        <v/>
      </c>
      <c r="E83" s="8"/>
      <c r="F83" s="8"/>
    </row>
    <row r="84" ht="15.75" customHeight="1">
      <c r="A84" s="9"/>
      <c r="B84" s="8"/>
      <c r="C84" s="8"/>
      <c r="D84" s="8" t="str">
        <f t="array" ref="D84">IF(C84="","",IFERROR(_xlfn.XLOOKUP(C84,Estoque!$A:$A,Estoque!$B:$B,""),""))</f>
        <v/>
      </c>
      <c r="E84" s="8"/>
      <c r="F84" s="8"/>
    </row>
    <row r="85" ht="15.75" customHeight="1">
      <c r="A85" s="9"/>
      <c r="B85" s="8"/>
      <c r="C85" s="8"/>
      <c r="D85" s="8" t="str">
        <f t="array" ref="D85">IF(C85="","",IFERROR(_xlfn.XLOOKUP(C85,Estoque!$A:$A,Estoque!$B:$B,""),""))</f>
        <v/>
      </c>
      <c r="E85" s="8"/>
      <c r="F85" s="8"/>
    </row>
    <row r="86" ht="15.75" customHeight="1">
      <c r="A86" s="9"/>
      <c r="B86" s="8"/>
      <c r="C86" s="8"/>
      <c r="D86" s="8" t="str">
        <f t="array" ref="D86">IF(C86="","",IFERROR(_xlfn.XLOOKUP(C86,Estoque!$A:$A,Estoque!$B:$B,""),""))</f>
        <v/>
      </c>
      <c r="E86" s="8"/>
      <c r="F86" s="8"/>
    </row>
    <row r="87" ht="15.75" customHeight="1">
      <c r="A87" s="9"/>
      <c r="B87" s="8"/>
      <c r="C87" s="8"/>
      <c r="D87" s="8" t="str">
        <f t="array" ref="D87">IF(C87="","",IFERROR(_xlfn.XLOOKUP(C87,Estoque!$A:$A,Estoque!$B:$B,""),""))</f>
        <v/>
      </c>
      <c r="E87" s="8"/>
      <c r="F87" s="8"/>
    </row>
    <row r="88" ht="15.75" customHeight="1">
      <c r="A88" s="9"/>
      <c r="B88" s="8"/>
      <c r="C88" s="8"/>
      <c r="D88" s="8" t="str">
        <f t="array" ref="D88">IF(C88="","",IFERROR(_xlfn.XLOOKUP(C88,Estoque!$A:$A,Estoque!$B:$B,""),""))</f>
        <v/>
      </c>
      <c r="E88" s="8"/>
      <c r="F88" s="8"/>
    </row>
    <row r="89" ht="15.75" customHeight="1">
      <c r="A89" s="9"/>
      <c r="B89" s="8"/>
      <c r="C89" s="8"/>
      <c r="D89" s="8" t="str">
        <f t="array" ref="D89">IF(C89="","",IFERROR(_xlfn.XLOOKUP(C89,Estoque!$A:$A,Estoque!$B:$B,""),""))</f>
        <v/>
      </c>
      <c r="E89" s="8"/>
      <c r="F89" s="8"/>
    </row>
    <row r="90" ht="15.75" customHeight="1">
      <c r="A90" s="9"/>
      <c r="B90" s="8"/>
      <c r="C90" s="8"/>
      <c r="D90" s="8" t="str">
        <f t="array" ref="D90">IF(C90="","",IFERROR(_xlfn.XLOOKUP(C90,Estoque!$A:$A,Estoque!$B:$B,""),""))</f>
        <v/>
      </c>
      <c r="E90" s="8"/>
      <c r="F90" s="8"/>
    </row>
    <row r="91" ht="15.75" customHeight="1">
      <c r="A91" s="9"/>
      <c r="B91" s="8"/>
      <c r="C91" s="8"/>
      <c r="D91" s="8" t="str">
        <f t="array" ref="D91">IF(C91="","",IFERROR(_xlfn.XLOOKUP(C91,Estoque!$A:$A,Estoque!$B:$B,""),""))</f>
        <v/>
      </c>
      <c r="E91" s="8"/>
      <c r="F91" s="8"/>
    </row>
    <row r="92" ht="15.75" customHeight="1">
      <c r="A92" s="9"/>
      <c r="B92" s="8"/>
      <c r="C92" s="8"/>
      <c r="D92" s="8" t="str">
        <f t="array" ref="D92">IF(C92="","",IFERROR(_xlfn.XLOOKUP(C92,Estoque!$A:$A,Estoque!$B:$B,""),""))</f>
        <v/>
      </c>
      <c r="E92" s="8"/>
      <c r="F92" s="8"/>
    </row>
    <row r="93" ht="15.75" customHeight="1">
      <c r="A93" s="9"/>
      <c r="B93" s="8"/>
      <c r="C93" s="8"/>
      <c r="D93" s="8" t="str">
        <f t="array" ref="D93">IF(C93="","",IFERROR(_xlfn.XLOOKUP(C93,Estoque!$A:$A,Estoque!$B:$B,""),""))</f>
        <v/>
      </c>
      <c r="E93" s="8"/>
      <c r="F93" s="8"/>
    </row>
    <row r="94" ht="15.75" customHeight="1">
      <c r="A94" s="9"/>
      <c r="B94" s="8"/>
      <c r="C94" s="8"/>
      <c r="D94" s="8" t="str">
        <f t="array" ref="D94">IF(C94="","",IFERROR(_xlfn.XLOOKUP(C94,Estoque!$A:$A,Estoque!$B:$B,""),""))</f>
        <v/>
      </c>
      <c r="E94" s="8"/>
      <c r="F94" s="8"/>
    </row>
    <row r="95" ht="15.75" customHeight="1">
      <c r="A95" s="9"/>
      <c r="B95" s="8"/>
      <c r="C95" s="8"/>
      <c r="D95" s="8" t="str">
        <f t="array" ref="D95">IF(C95="","",IFERROR(_xlfn.XLOOKUP(C95,Estoque!$A:$A,Estoque!$B:$B,""),""))</f>
        <v/>
      </c>
      <c r="E95" s="8"/>
      <c r="F95" s="8"/>
    </row>
    <row r="96" ht="15.75" customHeight="1">
      <c r="A96" s="9"/>
      <c r="B96" s="8"/>
      <c r="C96" s="8"/>
      <c r="D96" s="8" t="str">
        <f t="array" ref="D96">IF(C96="","",IFERROR(_xlfn.XLOOKUP(C96,Estoque!$A:$A,Estoque!$B:$B,""),""))</f>
        <v/>
      </c>
      <c r="E96" s="8"/>
      <c r="F96" s="8"/>
    </row>
    <row r="97" ht="15.75" customHeight="1">
      <c r="A97" s="9"/>
      <c r="B97" s="8"/>
      <c r="C97" s="8"/>
      <c r="D97" s="8" t="str">
        <f t="array" ref="D97">IF(C97="","",IFERROR(_xlfn.XLOOKUP(C97,Estoque!$A:$A,Estoque!$B:$B,""),""))</f>
        <v/>
      </c>
      <c r="E97" s="8"/>
      <c r="F97" s="8"/>
    </row>
    <row r="98" ht="15.75" customHeight="1">
      <c r="A98" s="9"/>
      <c r="B98" s="8"/>
      <c r="C98" s="8"/>
      <c r="D98" s="8" t="str">
        <f t="array" ref="D98">IF(C98="","",IFERROR(_xlfn.XLOOKUP(C98,Estoque!$A:$A,Estoque!$B:$B,""),""))</f>
        <v/>
      </c>
      <c r="E98" s="8"/>
      <c r="F98" s="8"/>
    </row>
    <row r="99" ht="15.75" customHeight="1">
      <c r="A99" s="9"/>
      <c r="B99" s="8"/>
      <c r="C99" s="8"/>
      <c r="D99" s="8" t="str">
        <f t="array" ref="D99">IF(C99="","",IFERROR(_xlfn.XLOOKUP(C99,Estoque!$A:$A,Estoque!$B:$B,""),""))</f>
        <v/>
      </c>
      <c r="E99" s="8"/>
      <c r="F99" s="8"/>
    </row>
    <row r="100" ht="15.75" customHeight="1">
      <c r="A100" s="9"/>
      <c r="B100" s="8"/>
      <c r="C100" s="8"/>
      <c r="D100" s="8" t="str">
        <f t="array" ref="D100">IF(C100="","",IFERROR(_xlfn.XLOOKUP(C100,Estoque!$A:$A,Estoque!$B:$B,""),""))</f>
        <v/>
      </c>
      <c r="E100" s="8"/>
      <c r="F100" s="8"/>
    </row>
    <row r="101" ht="15.75" customHeight="1">
      <c r="A101" s="9"/>
      <c r="B101" s="8"/>
      <c r="C101" s="8"/>
      <c r="D101" s="8" t="str">
        <f t="array" ref="D101">IF(C101="","",IFERROR(_xlfn.XLOOKUP(C101,Estoque!$A:$A,Estoque!$B:$B,""),""))</f>
        <v/>
      </c>
      <c r="E101" s="8"/>
      <c r="F101" s="8"/>
    </row>
    <row r="102" ht="15.75" customHeight="1">
      <c r="A102" s="9"/>
      <c r="B102" s="8"/>
      <c r="C102" s="8"/>
      <c r="D102" s="8" t="str">
        <f t="array" ref="D102">IF(C102="","",IFERROR(_xlfn.XLOOKUP(C102,Estoque!$A:$A,Estoque!$B:$B,""),""))</f>
        <v/>
      </c>
      <c r="E102" s="8"/>
      <c r="F102" s="8"/>
    </row>
    <row r="103" ht="15.75" customHeight="1">
      <c r="A103" s="9"/>
      <c r="B103" s="8"/>
      <c r="C103" s="8"/>
      <c r="D103" s="8" t="str">
        <f t="array" ref="D103">IF(C103="","",IFERROR(_xlfn.XLOOKUP(C103,Estoque!$A:$A,Estoque!$B:$B,""),""))</f>
        <v/>
      </c>
      <c r="E103" s="8"/>
      <c r="F103" s="8"/>
    </row>
    <row r="104" ht="15.75" customHeight="1">
      <c r="A104" s="9"/>
      <c r="B104" s="8"/>
      <c r="C104" s="8"/>
      <c r="D104" s="8" t="str">
        <f t="array" ref="D104">IF(C104="","",IFERROR(_xlfn.XLOOKUP(C104,Estoque!$A:$A,Estoque!$B:$B,""),""))</f>
        <v/>
      </c>
      <c r="E104" s="8"/>
      <c r="F104" s="8"/>
    </row>
    <row r="105" ht="15.75" customHeight="1">
      <c r="A105" s="9"/>
      <c r="B105" s="8"/>
      <c r="C105" s="8"/>
      <c r="D105" s="8" t="str">
        <f t="array" ref="D105">IF(C105="","",IFERROR(_xlfn.XLOOKUP(C105,Estoque!$A:$A,Estoque!$B:$B,""),""))</f>
        <v/>
      </c>
      <c r="E105" s="8"/>
      <c r="F105" s="8"/>
    </row>
    <row r="106" ht="15.75" customHeight="1">
      <c r="A106" s="9"/>
      <c r="B106" s="8"/>
      <c r="C106" s="8"/>
      <c r="D106" s="8" t="str">
        <f t="array" ref="D106">IF(C106="","",IFERROR(_xlfn.XLOOKUP(C106,Estoque!$A:$A,Estoque!$B:$B,""),""))</f>
        <v/>
      </c>
      <c r="E106" s="8"/>
      <c r="F106" s="8"/>
    </row>
    <row r="107" ht="15.75" customHeight="1">
      <c r="A107" s="9"/>
      <c r="B107" s="8"/>
      <c r="C107" s="8"/>
      <c r="D107" s="8" t="str">
        <f t="array" ref="D107">IF(C107="","",IFERROR(_xlfn.XLOOKUP(C107,Estoque!$A:$A,Estoque!$B:$B,""),""))</f>
        <v/>
      </c>
      <c r="E107" s="8"/>
      <c r="F107" s="8"/>
    </row>
    <row r="108" ht="15.75" customHeight="1">
      <c r="A108" s="9"/>
      <c r="B108" s="8"/>
      <c r="C108" s="8"/>
      <c r="D108" s="8" t="str">
        <f t="array" ref="D108">IF(C108="","",IFERROR(_xlfn.XLOOKUP(C108,Estoque!$A:$A,Estoque!$B:$B,""),""))</f>
        <v/>
      </c>
      <c r="E108" s="8"/>
      <c r="F108" s="8"/>
    </row>
    <row r="109" ht="15.75" customHeight="1">
      <c r="A109" s="9"/>
      <c r="B109" s="8"/>
      <c r="C109" s="8"/>
      <c r="D109" s="8" t="str">
        <f t="array" ref="D109">IF(C109="","",IFERROR(_xlfn.XLOOKUP(C109,Estoque!$A:$A,Estoque!$B:$B,""),""))</f>
        <v/>
      </c>
      <c r="E109" s="8"/>
      <c r="F109" s="8"/>
    </row>
    <row r="110" ht="15.75" customHeight="1">
      <c r="A110" s="9"/>
      <c r="B110" s="8"/>
      <c r="C110" s="8"/>
      <c r="D110" s="8" t="str">
        <f t="array" ref="D110">IF(C110="","",IFERROR(_xlfn.XLOOKUP(C110,Estoque!$A:$A,Estoque!$B:$B,""),""))</f>
        <v/>
      </c>
      <c r="E110" s="8"/>
      <c r="F110" s="8"/>
    </row>
    <row r="111" ht="15.75" customHeight="1">
      <c r="A111" s="9"/>
      <c r="B111" s="8"/>
      <c r="C111" s="8"/>
      <c r="D111" s="8" t="str">
        <f t="array" ref="D111">IF(C111="","",IFERROR(_xlfn.XLOOKUP(C111,Estoque!$A:$A,Estoque!$B:$B,""),""))</f>
        <v/>
      </c>
      <c r="E111" s="8"/>
      <c r="F111" s="8"/>
    </row>
    <row r="112" ht="15.75" customHeight="1">
      <c r="A112" s="9"/>
      <c r="B112" s="8"/>
      <c r="C112" s="8"/>
      <c r="D112" s="8" t="str">
        <f t="array" ref="D112">IF(C112="","",IFERROR(_xlfn.XLOOKUP(C112,Estoque!$A:$A,Estoque!$B:$B,""),""))</f>
        <v/>
      </c>
      <c r="E112" s="8"/>
      <c r="F112" s="8"/>
    </row>
    <row r="113" ht="15.75" customHeight="1">
      <c r="A113" s="9"/>
      <c r="B113" s="8"/>
      <c r="C113" s="8"/>
      <c r="D113" s="8" t="str">
        <f t="array" ref="D113">IF(C113="","",IFERROR(_xlfn.XLOOKUP(C113,Estoque!$A:$A,Estoque!$B:$B,""),""))</f>
        <v/>
      </c>
      <c r="E113" s="8"/>
      <c r="F113" s="8"/>
    </row>
    <row r="114" ht="15.75" customHeight="1">
      <c r="A114" s="9"/>
      <c r="B114" s="8"/>
      <c r="C114" s="8"/>
      <c r="D114" s="8" t="str">
        <f t="array" ref="D114">IF(C114="","",IFERROR(_xlfn.XLOOKUP(C114,Estoque!$A:$A,Estoque!$B:$B,""),""))</f>
        <v/>
      </c>
      <c r="E114" s="8"/>
      <c r="F114" s="8"/>
    </row>
    <row r="115" ht="15.75" customHeight="1">
      <c r="A115" s="9"/>
      <c r="B115" s="8"/>
      <c r="C115" s="8"/>
      <c r="D115" s="8" t="str">
        <f t="array" ref="D115">IF(C115="","",IFERROR(_xlfn.XLOOKUP(C115,Estoque!$A:$A,Estoque!$B:$B,""),""))</f>
        <v/>
      </c>
      <c r="E115" s="8"/>
      <c r="F115" s="8"/>
    </row>
    <row r="116" ht="15.75" customHeight="1">
      <c r="A116" s="9"/>
      <c r="B116" s="8"/>
      <c r="C116" s="8"/>
      <c r="D116" s="8" t="str">
        <f t="array" ref="D116">IF(C116="","",IFERROR(_xlfn.XLOOKUP(C116,Estoque!$A:$A,Estoque!$B:$B,""),""))</f>
        <v/>
      </c>
      <c r="E116" s="8"/>
      <c r="F116" s="8"/>
    </row>
    <row r="117" ht="15.75" customHeight="1">
      <c r="A117" s="9"/>
      <c r="B117" s="8"/>
      <c r="C117" s="8"/>
      <c r="D117" s="8" t="str">
        <f t="array" ref="D117">IF(C117="","",IFERROR(_xlfn.XLOOKUP(C117,Estoque!$A:$A,Estoque!$B:$B,""),""))</f>
        <v/>
      </c>
      <c r="E117" s="8"/>
      <c r="F117" s="8"/>
    </row>
    <row r="118" ht="15.75" customHeight="1">
      <c r="A118" s="9"/>
      <c r="B118" s="8"/>
      <c r="C118" s="8"/>
      <c r="D118" s="8" t="str">
        <f t="array" ref="D118">IF(C118="","",IFERROR(_xlfn.XLOOKUP(C118,Estoque!$A:$A,Estoque!$B:$B,""),""))</f>
        <v/>
      </c>
      <c r="E118" s="8"/>
      <c r="F118" s="8"/>
    </row>
    <row r="119" ht="15.75" customHeight="1">
      <c r="A119" s="9"/>
      <c r="B119" s="8"/>
      <c r="C119" s="8"/>
      <c r="D119" s="8" t="str">
        <f t="array" ref="D119">IF(C119="","",IFERROR(_xlfn.XLOOKUP(C119,Estoque!$A:$A,Estoque!$B:$B,""),""))</f>
        <v/>
      </c>
      <c r="E119" s="8"/>
      <c r="F119" s="8"/>
    </row>
    <row r="120" ht="15.75" customHeight="1">
      <c r="A120" s="9"/>
      <c r="B120" s="8"/>
      <c r="C120" s="8"/>
      <c r="D120" s="8" t="str">
        <f t="array" ref="D120">IF(C120="","",IFERROR(_xlfn.XLOOKUP(C120,Estoque!$A:$A,Estoque!$B:$B,""),""))</f>
        <v/>
      </c>
      <c r="E120" s="8"/>
      <c r="F120" s="8"/>
    </row>
    <row r="121" ht="15.75" customHeight="1">
      <c r="A121" s="9"/>
      <c r="B121" s="8"/>
      <c r="C121" s="8"/>
      <c r="D121" s="8" t="str">
        <f t="array" ref="D121">IF(C121="","",IFERROR(_xlfn.XLOOKUP(C121,Estoque!$A:$A,Estoque!$B:$B,""),""))</f>
        <v/>
      </c>
      <c r="E121" s="8"/>
      <c r="F121" s="8"/>
    </row>
    <row r="122" ht="15.75" customHeight="1">
      <c r="A122" s="9"/>
      <c r="B122" s="8"/>
      <c r="C122" s="8"/>
      <c r="D122" s="8" t="str">
        <f t="array" ref="D122">IF(C122="","",IFERROR(_xlfn.XLOOKUP(C122,Estoque!$A:$A,Estoque!$B:$B,""),""))</f>
        <v/>
      </c>
      <c r="E122" s="8"/>
      <c r="F122" s="8"/>
    </row>
    <row r="123" ht="15.75" customHeight="1">
      <c r="A123" s="9"/>
      <c r="B123" s="8"/>
      <c r="C123" s="8"/>
      <c r="D123" s="8" t="str">
        <f t="array" ref="D123">IF(C123="","",IFERROR(_xlfn.XLOOKUP(C123,Estoque!$A:$A,Estoque!$B:$B,""),""))</f>
        <v/>
      </c>
      <c r="E123" s="8"/>
      <c r="F123" s="8"/>
    </row>
    <row r="124" ht="15.75" customHeight="1">
      <c r="A124" s="9"/>
      <c r="B124" s="8"/>
      <c r="C124" s="8"/>
      <c r="D124" s="8" t="str">
        <f t="array" ref="D124">IF(C124="","",IFERROR(_xlfn.XLOOKUP(C124,Estoque!$A:$A,Estoque!$B:$B,""),""))</f>
        <v/>
      </c>
      <c r="E124" s="8"/>
      <c r="F124" s="8"/>
    </row>
    <row r="125" ht="15.75" customHeight="1">
      <c r="A125" s="9"/>
      <c r="B125" s="8"/>
      <c r="C125" s="8"/>
      <c r="D125" s="8" t="str">
        <f t="array" ref="D125">IF(C125="","",IFERROR(_xlfn.XLOOKUP(C125,Estoque!$A:$A,Estoque!$B:$B,""),""))</f>
        <v/>
      </c>
      <c r="E125" s="8"/>
      <c r="F125" s="8"/>
    </row>
    <row r="126" ht="15.75" customHeight="1">
      <c r="A126" s="9"/>
      <c r="B126" s="8"/>
      <c r="C126" s="8"/>
      <c r="D126" s="8" t="str">
        <f t="array" ref="D126">IF(C126="","",IFERROR(_xlfn.XLOOKUP(C126,Estoque!$A:$A,Estoque!$B:$B,""),""))</f>
        <v/>
      </c>
      <c r="E126" s="8"/>
      <c r="F126" s="8"/>
    </row>
    <row r="127" ht="15.75" customHeight="1">
      <c r="A127" s="9"/>
      <c r="B127" s="8"/>
      <c r="C127" s="8"/>
      <c r="D127" s="8" t="str">
        <f t="array" ref="D127">IF(C127="","",IFERROR(_xlfn.XLOOKUP(C127,Estoque!$A:$A,Estoque!$B:$B,""),""))</f>
        <v/>
      </c>
      <c r="E127" s="8"/>
      <c r="F127" s="8"/>
    </row>
    <row r="128" ht="15.75" customHeight="1">
      <c r="A128" s="9"/>
      <c r="B128" s="8"/>
      <c r="C128" s="8"/>
      <c r="D128" s="8" t="str">
        <f t="array" ref="D128">IF(C128="","",IFERROR(_xlfn.XLOOKUP(C128,Estoque!$A:$A,Estoque!$B:$B,""),""))</f>
        <v/>
      </c>
      <c r="E128" s="8"/>
      <c r="F128" s="8"/>
    </row>
    <row r="129" ht="15.75" customHeight="1">
      <c r="A129" s="9"/>
      <c r="B129" s="8"/>
      <c r="C129" s="8"/>
      <c r="D129" s="8" t="str">
        <f t="array" ref="D129">IF(C129="","",IFERROR(_xlfn.XLOOKUP(C129,Estoque!$A:$A,Estoque!$B:$B,""),""))</f>
        <v/>
      </c>
      <c r="E129" s="8"/>
      <c r="F129" s="8"/>
    </row>
    <row r="130" ht="15.75" customHeight="1">
      <c r="A130" s="9"/>
      <c r="B130" s="8"/>
      <c r="C130" s="8"/>
      <c r="D130" s="8" t="str">
        <f t="array" ref="D130">IF(C130="","",IFERROR(_xlfn.XLOOKUP(C130,Estoque!$A:$A,Estoque!$B:$B,""),""))</f>
        <v/>
      </c>
      <c r="E130" s="8"/>
      <c r="F130" s="8"/>
    </row>
    <row r="131" ht="15.75" customHeight="1">
      <c r="A131" s="9"/>
      <c r="B131" s="8"/>
      <c r="C131" s="8"/>
      <c r="D131" s="8" t="str">
        <f t="array" ref="D131">IF(C131="","",IFERROR(_xlfn.XLOOKUP(C131,Estoque!$A:$A,Estoque!$B:$B,""),""))</f>
        <v/>
      </c>
      <c r="E131" s="8"/>
      <c r="F131" s="8"/>
    </row>
    <row r="132" ht="15.75" customHeight="1">
      <c r="A132" s="9"/>
      <c r="B132" s="8"/>
      <c r="C132" s="8"/>
      <c r="D132" s="8" t="str">
        <f t="array" ref="D132">IF(C132="","",IFERROR(_xlfn.XLOOKUP(C132,Estoque!$A:$A,Estoque!$B:$B,""),""))</f>
        <v/>
      </c>
      <c r="E132" s="8"/>
      <c r="F132" s="8"/>
    </row>
    <row r="133" ht="15.75" customHeight="1">
      <c r="A133" s="9"/>
      <c r="B133" s="8"/>
      <c r="C133" s="8"/>
      <c r="D133" s="8" t="str">
        <f t="array" ref="D133">IF(C133="","",IFERROR(_xlfn.XLOOKUP(C133,Estoque!$A:$A,Estoque!$B:$B,""),""))</f>
        <v/>
      </c>
      <c r="E133" s="8"/>
      <c r="F133" s="8"/>
    </row>
    <row r="134" ht="15.75" customHeight="1">
      <c r="A134" s="9"/>
      <c r="B134" s="8"/>
      <c r="C134" s="8"/>
      <c r="D134" s="8" t="str">
        <f t="array" ref="D134">IF(C134="","",IFERROR(_xlfn.XLOOKUP(C134,Estoque!$A:$A,Estoque!$B:$B,""),""))</f>
        <v/>
      </c>
      <c r="E134" s="8"/>
      <c r="F134" s="8"/>
    </row>
    <row r="135" ht="15.75" customHeight="1">
      <c r="A135" s="9"/>
      <c r="B135" s="8"/>
      <c r="C135" s="8"/>
      <c r="D135" s="8" t="str">
        <f t="array" ref="D135">IF(C135="","",IFERROR(_xlfn.XLOOKUP(C135,Estoque!$A:$A,Estoque!$B:$B,""),""))</f>
        <v/>
      </c>
      <c r="E135" s="8"/>
      <c r="F135" s="8"/>
    </row>
    <row r="136" ht="15.75" customHeight="1">
      <c r="A136" s="9"/>
      <c r="B136" s="8"/>
      <c r="C136" s="8"/>
      <c r="D136" s="8" t="str">
        <f t="array" ref="D136">IF(C136="","",IFERROR(_xlfn.XLOOKUP(C136,Estoque!$A:$A,Estoque!$B:$B,""),""))</f>
        <v/>
      </c>
      <c r="E136" s="8"/>
      <c r="F136" s="8"/>
    </row>
    <row r="137" ht="15.75" customHeight="1">
      <c r="A137" s="9"/>
      <c r="B137" s="8"/>
      <c r="C137" s="8"/>
      <c r="D137" s="8" t="str">
        <f t="array" ref="D137">IF(C137="","",IFERROR(_xlfn.XLOOKUP(C137,Estoque!$A:$A,Estoque!$B:$B,""),""))</f>
        <v/>
      </c>
      <c r="E137" s="8"/>
      <c r="F137" s="8"/>
    </row>
    <row r="138" ht="15.75" customHeight="1">
      <c r="A138" s="9"/>
      <c r="B138" s="8"/>
      <c r="C138" s="8"/>
      <c r="D138" s="8" t="str">
        <f t="array" ref="D138">IF(C138="","",IFERROR(_xlfn.XLOOKUP(C138,Estoque!$A:$A,Estoque!$B:$B,""),""))</f>
        <v/>
      </c>
      <c r="E138" s="8"/>
      <c r="F138" s="8"/>
    </row>
    <row r="139" ht="15.75" customHeight="1">
      <c r="A139" s="9"/>
      <c r="B139" s="8"/>
      <c r="C139" s="8"/>
      <c r="D139" s="8" t="str">
        <f t="array" ref="D139">IF(C139="","",IFERROR(_xlfn.XLOOKUP(C139,Estoque!$A:$A,Estoque!$B:$B,""),""))</f>
        <v/>
      </c>
      <c r="E139" s="8"/>
      <c r="F139" s="8"/>
    </row>
    <row r="140" ht="15.75" customHeight="1">
      <c r="A140" s="9"/>
      <c r="B140" s="8"/>
      <c r="C140" s="8"/>
      <c r="D140" s="8" t="str">
        <f t="array" ref="D140">IF(C140="","",IFERROR(_xlfn.XLOOKUP(C140,Estoque!$A:$A,Estoque!$B:$B,""),""))</f>
        <v/>
      </c>
      <c r="E140" s="8"/>
      <c r="F140" s="8"/>
    </row>
    <row r="141" ht="15.75" customHeight="1">
      <c r="A141" s="9"/>
      <c r="B141" s="8"/>
      <c r="C141" s="8"/>
      <c r="D141" s="8" t="str">
        <f t="array" ref="D141">IF(C141="","",IFERROR(_xlfn.XLOOKUP(C141,Estoque!$A:$A,Estoque!$B:$B,""),""))</f>
        <v/>
      </c>
      <c r="E141" s="8"/>
      <c r="F141" s="8"/>
    </row>
    <row r="142" ht="15.75" customHeight="1">
      <c r="A142" s="9"/>
      <c r="B142" s="8"/>
      <c r="C142" s="8"/>
      <c r="D142" s="8" t="str">
        <f t="array" ref="D142">IF(C142="","",IFERROR(_xlfn.XLOOKUP(C142,Estoque!$A:$A,Estoque!$B:$B,""),""))</f>
        <v/>
      </c>
      <c r="E142" s="8"/>
      <c r="F142" s="8"/>
    </row>
    <row r="143" ht="15.75" customHeight="1">
      <c r="A143" s="9"/>
      <c r="B143" s="8"/>
      <c r="C143" s="8"/>
      <c r="D143" s="8" t="str">
        <f t="array" ref="D143">IF(C143="","",IFERROR(_xlfn.XLOOKUP(C143,Estoque!$A:$A,Estoque!$B:$B,""),""))</f>
        <v/>
      </c>
      <c r="E143" s="8"/>
      <c r="F143" s="8"/>
    </row>
    <row r="144" ht="15.75" customHeight="1">
      <c r="A144" s="9"/>
      <c r="B144" s="8"/>
      <c r="C144" s="8"/>
      <c r="D144" s="8" t="str">
        <f t="array" ref="D144">IF(C144="","",IFERROR(_xlfn.XLOOKUP(C144,Estoque!$A:$A,Estoque!$B:$B,""),""))</f>
        <v/>
      </c>
      <c r="E144" s="8"/>
      <c r="F144" s="8"/>
    </row>
    <row r="145" ht="15.75" customHeight="1">
      <c r="A145" s="9"/>
      <c r="B145" s="8"/>
      <c r="C145" s="8"/>
      <c r="D145" s="8" t="str">
        <f t="array" ref="D145">IF(C145="","",IFERROR(_xlfn.XLOOKUP(C145,Estoque!$A:$A,Estoque!$B:$B,""),""))</f>
        <v/>
      </c>
      <c r="E145" s="8"/>
      <c r="F145" s="8"/>
    </row>
    <row r="146" ht="15.75" customHeight="1">
      <c r="A146" s="9"/>
      <c r="B146" s="8"/>
      <c r="C146" s="8"/>
      <c r="D146" s="8" t="str">
        <f t="array" ref="D146">IF(C146="","",IFERROR(_xlfn.XLOOKUP(C146,Estoque!$A:$A,Estoque!$B:$B,""),""))</f>
        <v/>
      </c>
      <c r="E146" s="8"/>
      <c r="F146" s="8"/>
    </row>
    <row r="147" ht="15.75" customHeight="1">
      <c r="A147" s="9"/>
      <c r="B147" s="8"/>
      <c r="C147" s="8"/>
      <c r="D147" s="8" t="str">
        <f t="array" ref="D147">IF(C147="","",IFERROR(_xlfn.XLOOKUP(C147,Estoque!$A:$A,Estoque!$B:$B,""),""))</f>
        <v/>
      </c>
      <c r="E147" s="8"/>
      <c r="F147" s="8"/>
    </row>
    <row r="148" ht="15.75" customHeight="1">
      <c r="A148" s="9"/>
      <c r="B148" s="8"/>
      <c r="C148" s="8"/>
      <c r="D148" s="8" t="str">
        <f t="array" ref="D148">IF(C148="","",IFERROR(_xlfn.XLOOKUP(C148,Estoque!$A:$A,Estoque!$B:$B,""),""))</f>
        <v/>
      </c>
      <c r="E148" s="8"/>
      <c r="F148" s="8"/>
    </row>
    <row r="149" ht="15.75" customHeight="1">
      <c r="A149" s="9"/>
      <c r="B149" s="8"/>
      <c r="C149" s="8"/>
      <c r="D149" s="8" t="str">
        <f t="array" ref="D149">IF(C149="","",IFERROR(_xlfn.XLOOKUP(C149,Estoque!$A:$A,Estoque!$B:$B,""),""))</f>
        <v/>
      </c>
      <c r="E149" s="8"/>
      <c r="F149" s="8"/>
    </row>
    <row r="150" ht="15.75" customHeight="1">
      <c r="A150" s="9"/>
      <c r="B150" s="8"/>
      <c r="C150" s="8"/>
      <c r="D150" s="8" t="str">
        <f t="array" ref="D150">IF(C150="","",IFERROR(_xlfn.XLOOKUP(C150,Estoque!$A:$A,Estoque!$B:$B,""),""))</f>
        <v/>
      </c>
      <c r="E150" s="8"/>
      <c r="F150" s="8"/>
    </row>
    <row r="151" ht="15.75" customHeight="1">
      <c r="A151" s="9"/>
      <c r="B151" s="8"/>
      <c r="C151" s="8"/>
      <c r="D151" s="8" t="str">
        <f t="array" ref="D151">IF(C151="","",IFERROR(_xlfn.XLOOKUP(C151,Estoque!$A:$A,Estoque!$B:$B,""),""))</f>
        <v/>
      </c>
      <c r="E151" s="8"/>
      <c r="F151" s="8"/>
    </row>
    <row r="152" ht="15.75" customHeight="1">
      <c r="A152" s="9"/>
      <c r="B152" s="8"/>
      <c r="C152" s="8"/>
      <c r="D152" s="8" t="str">
        <f t="array" ref="D152">IF(C152="","",IFERROR(_xlfn.XLOOKUP(C152,Estoque!$A:$A,Estoque!$B:$B,""),""))</f>
        <v/>
      </c>
      <c r="E152" s="8"/>
      <c r="F152" s="8"/>
    </row>
    <row r="153" ht="15.75" customHeight="1">
      <c r="A153" s="9"/>
      <c r="B153" s="8"/>
      <c r="C153" s="8"/>
      <c r="D153" s="8" t="str">
        <f t="array" ref="D153">IF(C153="","",IFERROR(_xlfn.XLOOKUP(C153,Estoque!$A:$A,Estoque!$B:$B,""),""))</f>
        <v/>
      </c>
      <c r="E153" s="8"/>
      <c r="F153" s="8"/>
    </row>
    <row r="154" ht="15.75" customHeight="1">
      <c r="A154" s="9"/>
      <c r="B154" s="8"/>
      <c r="C154" s="8"/>
      <c r="D154" s="8" t="str">
        <f t="array" ref="D154">IF(C154="","",IFERROR(_xlfn.XLOOKUP(C154,Estoque!$A:$A,Estoque!$B:$B,""),""))</f>
        <v/>
      </c>
      <c r="E154" s="8"/>
      <c r="F154" s="8"/>
    </row>
    <row r="155" ht="15.75" customHeight="1">
      <c r="A155" s="9"/>
      <c r="B155" s="8"/>
      <c r="C155" s="8"/>
      <c r="D155" s="8" t="str">
        <f t="array" ref="D155">IF(C155="","",IFERROR(_xlfn.XLOOKUP(C155,Estoque!$A:$A,Estoque!$B:$B,""),""))</f>
        <v/>
      </c>
      <c r="E155" s="8"/>
      <c r="F155" s="8"/>
    </row>
    <row r="156" ht="15.75" customHeight="1">
      <c r="A156" s="9"/>
      <c r="B156" s="8"/>
      <c r="C156" s="8"/>
      <c r="D156" s="8" t="str">
        <f t="array" ref="D156">IF(C156="","",IFERROR(_xlfn.XLOOKUP(C156,Estoque!$A:$A,Estoque!$B:$B,""),""))</f>
        <v/>
      </c>
      <c r="E156" s="8"/>
      <c r="F156" s="8"/>
    </row>
    <row r="157" ht="15.75" customHeight="1">
      <c r="A157" s="9"/>
      <c r="B157" s="8"/>
      <c r="C157" s="8"/>
      <c r="D157" s="8" t="str">
        <f t="array" ref="D157">IF(C157="","",IFERROR(_xlfn.XLOOKUP(C157,Estoque!$A:$A,Estoque!$B:$B,""),""))</f>
        <v/>
      </c>
      <c r="E157" s="8"/>
      <c r="F157" s="8"/>
    </row>
    <row r="158" ht="15.75" customHeight="1">
      <c r="A158" s="9"/>
      <c r="B158" s="8"/>
      <c r="C158" s="8"/>
      <c r="D158" s="8" t="str">
        <f t="array" ref="D158">IF(C158="","",IFERROR(_xlfn.XLOOKUP(C158,Estoque!$A:$A,Estoque!$B:$B,""),""))</f>
        <v/>
      </c>
      <c r="E158" s="8"/>
      <c r="F158" s="8"/>
    </row>
    <row r="159" ht="15.75" customHeight="1">
      <c r="A159" s="9"/>
      <c r="B159" s="8"/>
      <c r="C159" s="8"/>
      <c r="D159" s="8" t="str">
        <f t="array" ref="D159">IF(C159="","",IFERROR(_xlfn.XLOOKUP(C159,Estoque!$A:$A,Estoque!$B:$B,""),""))</f>
        <v/>
      </c>
      <c r="E159" s="8"/>
      <c r="F159" s="8"/>
    </row>
    <row r="160" ht="15.75" customHeight="1">
      <c r="A160" s="9"/>
      <c r="B160" s="8"/>
      <c r="C160" s="8"/>
      <c r="D160" s="8" t="str">
        <f t="array" ref="D160">IF(C160="","",IFERROR(_xlfn.XLOOKUP(C160,Estoque!$A:$A,Estoque!$B:$B,""),""))</f>
        <v/>
      </c>
      <c r="E160" s="8"/>
      <c r="F160" s="8"/>
    </row>
    <row r="161" ht="15.75" customHeight="1">
      <c r="A161" s="9"/>
      <c r="B161" s="8"/>
      <c r="C161" s="8"/>
      <c r="D161" s="8" t="str">
        <f t="array" ref="D161">IF(C161="","",IFERROR(_xlfn.XLOOKUP(C161,Estoque!$A:$A,Estoque!$B:$B,""),""))</f>
        <v/>
      </c>
      <c r="E161" s="8"/>
      <c r="F161" s="8"/>
    </row>
    <row r="162" ht="15.75" customHeight="1">
      <c r="A162" s="9"/>
      <c r="B162" s="8"/>
      <c r="C162" s="8"/>
      <c r="D162" s="8" t="str">
        <f t="array" ref="D162">IF(C162="","",IFERROR(_xlfn.XLOOKUP(C162,Estoque!$A:$A,Estoque!$B:$B,""),""))</f>
        <v/>
      </c>
      <c r="E162" s="8"/>
      <c r="F162" s="8"/>
    </row>
    <row r="163" ht="15.75" customHeight="1">
      <c r="A163" s="9"/>
      <c r="B163" s="8"/>
      <c r="C163" s="8"/>
      <c r="D163" s="8" t="str">
        <f t="array" ref="D163">IF(C163="","",IFERROR(_xlfn.XLOOKUP(C163,Estoque!$A:$A,Estoque!$B:$B,""),""))</f>
        <v/>
      </c>
      <c r="E163" s="8"/>
      <c r="F163" s="8"/>
    </row>
    <row r="164" ht="15.75" customHeight="1">
      <c r="A164" s="9"/>
      <c r="B164" s="8"/>
      <c r="C164" s="8"/>
      <c r="D164" s="8" t="str">
        <f t="array" ref="D164">IF(C164="","",IFERROR(_xlfn.XLOOKUP(C164,Estoque!$A:$A,Estoque!$B:$B,""),""))</f>
        <v/>
      </c>
      <c r="E164" s="8"/>
      <c r="F164" s="8"/>
    </row>
    <row r="165" ht="15.75" customHeight="1">
      <c r="A165" s="9"/>
      <c r="B165" s="8"/>
      <c r="C165" s="8"/>
      <c r="D165" s="8" t="str">
        <f t="array" ref="D165">IF(C165="","",IFERROR(_xlfn.XLOOKUP(C165,Estoque!$A:$A,Estoque!$B:$B,""),""))</f>
        <v/>
      </c>
      <c r="E165" s="8"/>
      <c r="F165" s="8"/>
    </row>
    <row r="166" ht="15.75" customHeight="1">
      <c r="A166" s="9"/>
      <c r="B166" s="8"/>
      <c r="C166" s="8"/>
      <c r="D166" s="8" t="str">
        <f t="array" ref="D166">IF(C166="","",IFERROR(_xlfn.XLOOKUP(C166,Estoque!$A:$A,Estoque!$B:$B,""),""))</f>
        <v/>
      </c>
      <c r="E166" s="8"/>
      <c r="F166" s="8"/>
    </row>
    <row r="167" ht="15.75" customHeight="1">
      <c r="A167" s="9"/>
      <c r="B167" s="8"/>
      <c r="C167" s="8"/>
      <c r="D167" s="8" t="str">
        <f t="array" ref="D167">IF(C167="","",IFERROR(_xlfn.XLOOKUP(C167,Estoque!$A:$A,Estoque!$B:$B,""),""))</f>
        <v/>
      </c>
      <c r="E167" s="8"/>
      <c r="F167" s="8"/>
    </row>
    <row r="168" ht="15.75" customHeight="1">
      <c r="A168" s="9"/>
      <c r="B168" s="8"/>
      <c r="C168" s="8"/>
      <c r="D168" s="8" t="str">
        <f t="array" ref="D168">IF(C168="","",IFERROR(_xlfn.XLOOKUP(C168,Estoque!$A:$A,Estoque!$B:$B,""),""))</f>
        <v/>
      </c>
      <c r="E168" s="8"/>
      <c r="F168" s="8"/>
    </row>
    <row r="169" ht="15.75" customHeight="1">
      <c r="A169" s="9"/>
      <c r="B169" s="8"/>
      <c r="C169" s="8"/>
      <c r="D169" s="8" t="str">
        <f t="array" ref="D169">IF(C169="","",IFERROR(_xlfn.XLOOKUP(C169,Estoque!$A:$A,Estoque!$B:$B,""),""))</f>
        <v/>
      </c>
      <c r="E169" s="8"/>
      <c r="F169" s="8"/>
    </row>
    <row r="170" ht="15.75" customHeight="1">
      <c r="A170" s="9"/>
      <c r="B170" s="8"/>
      <c r="C170" s="8"/>
      <c r="D170" s="8" t="str">
        <f t="array" ref="D170">IF(C170="","",IFERROR(_xlfn.XLOOKUP(C170,Estoque!$A:$A,Estoque!$B:$B,""),""))</f>
        <v/>
      </c>
      <c r="E170" s="8"/>
      <c r="F170" s="8"/>
    </row>
    <row r="171" ht="15.75" customHeight="1">
      <c r="A171" s="9"/>
      <c r="B171" s="8"/>
      <c r="C171" s="8"/>
      <c r="D171" s="8" t="str">
        <f t="array" ref="D171">IF(C171="","",IFERROR(_xlfn.XLOOKUP(C171,Estoque!$A:$A,Estoque!$B:$B,""),""))</f>
        <v/>
      </c>
      <c r="E171" s="8"/>
      <c r="F171" s="8"/>
    </row>
    <row r="172" ht="15.75" customHeight="1">
      <c r="A172" s="9"/>
      <c r="B172" s="8"/>
      <c r="C172" s="8"/>
      <c r="D172" s="8" t="str">
        <f t="array" ref="D172">IF(C172="","",IFERROR(_xlfn.XLOOKUP(C172,Estoque!$A:$A,Estoque!$B:$B,""),""))</f>
        <v/>
      </c>
      <c r="E172" s="8"/>
      <c r="F172" s="8"/>
    </row>
    <row r="173" ht="15.75" customHeight="1">
      <c r="A173" s="9"/>
      <c r="B173" s="8"/>
      <c r="C173" s="8"/>
      <c r="D173" s="8" t="str">
        <f t="array" ref="D173">IF(C173="","",IFERROR(_xlfn.XLOOKUP(C173,Estoque!$A:$A,Estoque!$B:$B,""),""))</f>
        <v/>
      </c>
      <c r="E173" s="8"/>
      <c r="F173" s="8"/>
    </row>
    <row r="174" ht="15.75" customHeight="1">
      <c r="A174" s="9"/>
      <c r="B174" s="8"/>
      <c r="C174" s="8"/>
      <c r="D174" s="8" t="str">
        <f t="array" ref="D174">IF(C174="","",IFERROR(_xlfn.XLOOKUP(C174,Estoque!$A:$A,Estoque!$B:$B,""),""))</f>
        <v/>
      </c>
      <c r="E174" s="8"/>
      <c r="F174" s="8"/>
    </row>
    <row r="175" ht="15.75" customHeight="1">
      <c r="A175" s="9"/>
      <c r="B175" s="8"/>
      <c r="C175" s="8"/>
      <c r="D175" s="8" t="str">
        <f t="array" ref="D175">IF(C175="","",IFERROR(_xlfn.XLOOKUP(C175,Estoque!$A:$A,Estoque!$B:$B,""),""))</f>
        <v/>
      </c>
      <c r="E175" s="8"/>
      <c r="F175" s="8"/>
    </row>
    <row r="176" ht="15.75" customHeight="1">
      <c r="A176" s="9"/>
      <c r="B176" s="8"/>
      <c r="C176" s="8"/>
      <c r="D176" s="8" t="str">
        <f t="array" ref="D176">IF(C176="","",IFERROR(_xlfn.XLOOKUP(C176,Estoque!$A:$A,Estoque!$B:$B,""),""))</f>
        <v/>
      </c>
      <c r="E176" s="8"/>
      <c r="F176" s="8"/>
    </row>
    <row r="177" ht="15.75" customHeight="1">
      <c r="A177" s="9"/>
      <c r="B177" s="8"/>
      <c r="C177" s="8"/>
      <c r="D177" s="8" t="str">
        <f t="array" ref="D177">IF(C177="","",IFERROR(_xlfn.XLOOKUP(C177,Estoque!$A:$A,Estoque!$B:$B,""),""))</f>
        <v/>
      </c>
      <c r="E177" s="8"/>
      <c r="F177" s="8"/>
    </row>
    <row r="178" ht="15.75" customHeight="1">
      <c r="A178" s="9"/>
      <c r="B178" s="8"/>
      <c r="C178" s="8"/>
      <c r="D178" s="8" t="str">
        <f t="array" ref="D178">IF(C178="","",IFERROR(_xlfn.XLOOKUP(C178,Estoque!$A:$A,Estoque!$B:$B,""),""))</f>
        <v/>
      </c>
      <c r="E178" s="8"/>
      <c r="F178" s="8"/>
    </row>
    <row r="179" ht="15.75" customHeight="1">
      <c r="A179" s="9"/>
      <c r="B179" s="8"/>
      <c r="C179" s="8"/>
      <c r="D179" s="8" t="str">
        <f t="array" ref="D179">IF(C179="","",IFERROR(_xlfn.XLOOKUP(C179,Estoque!$A:$A,Estoque!$B:$B,""),""))</f>
        <v/>
      </c>
      <c r="E179" s="8"/>
      <c r="F179" s="8"/>
    </row>
    <row r="180" ht="15.75" customHeight="1">
      <c r="A180" s="9"/>
      <c r="B180" s="8"/>
      <c r="C180" s="8"/>
      <c r="D180" s="8" t="str">
        <f t="array" ref="D180">IF(C180="","",IFERROR(_xlfn.XLOOKUP(C180,Estoque!$A:$A,Estoque!$B:$B,""),""))</f>
        <v/>
      </c>
      <c r="E180" s="8"/>
      <c r="F180" s="8"/>
    </row>
    <row r="181" ht="15.75" customHeight="1">
      <c r="A181" s="9"/>
      <c r="B181" s="8"/>
      <c r="C181" s="8"/>
      <c r="D181" s="8" t="str">
        <f t="array" ref="D181">IF(C181="","",IFERROR(_xlfn.XLOOKUP(C181,Estoque!$A:$A,Estoque!$B:$B,""),""))</f>
        <v/>
      </c>
      <c r="E181" s="8"/>
      <c r="F181" s="8"/>
    </row>
    <row r="182" ht="15.75" customHeight="1">
      <c r="A182" s="9"/>
      <c r="B182" s="8"/>
      <c r="C182" s="8"/>
      <c r="D182" s="8" t="str">
        <f t="array" ref="D182">IF(C182="","",IFERROR(_xlfn.XLOOKUP(C182,Estoque!$A:$A,Estoque!$B:$B,""),""))</f>
        <v/>
      </c>
      <c r="E182" s="8"/>
      <c r="F182" s="8"/>
    </row>
    <row r="183" ht="15.75" customHeight="1">
      <c r="A183" s="9"/>
      <c r="B183" s="8"/>
      <c r="C183" s="8"/>
      <c r="D183" s="8" t="str">
        <f t="array" ref="D183">IF(C183="","",IFERROR(_xlfn.XLOOKUP(C183,Estoque!$A:$A,Estoque!$B:$B,""),""))</f>
        <v/>
      </c>
      <c r="E183" s="8"/>
      <c r="F183" s="8"/>
    </row>
    <row r="184" ht="15.75" customHeight="1">
      <c r="A184" s="9"/>
      <c r="B184" s="8"/>
      <c r="C184" s="8"/>
      <c r="D184" s="8" t="str">
        <f t="array" ref="D184">IF(C184="","",IFERROR(_xlfn.XLOOKUP(C184,Estoque!$A:$A,Estoque!$B:$B,""),""))</f>
        <v/>
      </c>
      <c r="E184" s="8"/>
      <c r="F184" s="8"/>
    </row>
    <row r="185" ht="15.75" customHeight="1">
      <c r="A185" s="9"/>
      <c r="B185" s="8"/>
      <c r="C185" s="8"/>
      <c r="D185" s="8" t="str">
        <f t="array" ref="D185">IF(C185="","",IFERROR(_xlfn.XLOOKUP(C185,Estoque!$A:$A,Estoque!$B:$B,""),""))</f>
        <v/>
      </c>
      <c r="E185" s="8"/>
      <c r="F185" s="8"/>
    </row>
    <row r="186" ht="15.75" customHeight="1">
      <c r="A186" s="9"/>
      <c r="B186" s="8"/>
      <c r="C186" s="8"/>
      <c r="D186" s="8" t="str">
        <f t="array" ref="D186">IF(C186="","",IFERROR(_xlfn.XLOOKUP(C186,Estoque!$A:$A,Estoque!$B:$B,""),""))</f>
        <v/>
      </c>
      <c r="E186" s="8"/>
      <c r="F186" s="8"/>
    </row>
    <row r="187" ht="15.75" customHeight="1">
      <c r="A187" s="9"/>
      <c r="B187" s="8"/>
      <c r="C187" s="8"/>
      <c r="D187" s="8" t="str">
        <f t="array" ref="D187">IF(C187="","",IFERROR(_xlfn.XLOOKUP(C187,Estoque!$A:$A,Estoque!$B:$B,""),""))</f>
        <v/>
      </c>
      <c r="E187" s="8"/>
      <c r="F187" s="8"/>
    </row>
    <row r="188" ht="15.75" customHeight="1">
      <c r="A188" s="9"/>
      <c r="B188" s="8"/>
      <c r="C188" s="8"/>
      <c r="D188" s="8" t="str">
        <f t="array" ref="D188">IF(C188="","",IFERROR(_xlfn.XLOOKUP(C188,Estoque!$A:$A,Estoque!$B:$B,""),""))</f>
        <v/>
      </c>
      <c r="E188" s="8"/>
      <c r="F188" s="8"/>
    </row>
    <row r="189" ht="15.75" customHeight="1">
      <c r="A189" s="9"/>
      <c r="B189" s="8"/>
      <c r="C189" s="8"/>
      <c r="D189" s="8" t="str">
        <f t="array" ref="D189">IF(C189="","",IFERROR(_xlfn.XLOOKUP(C189,Estoque!$A:$A,Estoque!$B:$B,""),""))</f>
        <v/>
      </c>
      <c r="E189" s="8"/>
      <c r="F189" s="8"/>
    </row>
    <row r="190" ht="15.75" customHeight="1">
      <c r="A190" s="9"/>
      <c r="B190" s="8"/>
      <c r="C190" s="8"/>
      <c r="D190" s="8" t="str">
        <f t="array" ref="D190">IF(C190="","",IFERROR(_xlfn.XLOOKUP(C190,Estoque!$A:$A,Estoque!$B:$B,""),""))</f>
        <v/>
      </c>
      <c r="E190" s="8"/>
      <c r="F190" s="8"/>
    </row>
    <row r="191" ht="15.75" customHeight="1">
      <c r="A191" s="9"/>
      <c r="B191" s="8"/>
      <c r="C191" s="8"/>
      <c r="D191" s="8" t="str">
        <f t="array" ref="D191">IF(C191="","",IFERROR(_xlfn.XLOOKUP(C191,Estoque!$A:$A,Estoque!$B:$B,""),""))</f>
        <v/>
      </c>
      <c r="E191" s="8"/>
      <c r="F191" s="8"/>
    </row>
    <row r="192" ht="15.75" customHeight="1">
      <c r="A192" s="9"/>
      <c r="B192" s="8"/>
      <c r="C192" s="8"/>
      <c r="D192" s="8" t="str">
        <f t="array" ref="D192">IF(C192="","",IFERROR(_xlfn.XLOOKUP(C192,Estoque!$A:$A,Estoque!$B:$B,""),""))</f>
        <v/>
      </c>
      <c r="E192" s="8"/>
      <c r="F192" s="8"/>
    </row>
    <row r="193" ht="15.75" customHeight="1">
      <c r="A193" s="9"/>
      <c r="B193" s="8"/>
      <c r="C193" s="8"/>
      <c r="D193" s="8" t="str">
        <f t="array" ref="D193">IF(C193="","",IFERROR(_xlfn.XLOOKUP(C193,Estoque!$A:$A,Estoque!$B:$B,""),""))</f>
        <v/>
      </c>
      <c r="E193" s="8"/>
      <c r="F193" s="8"/>
    </row>
    <row r="194" ht="15.75" customHeight="1">
      <c r="A194" s="9"/>
      <c r="B194" s="8"/>
      <c r="C194" s="8"/>
      <c r="D194" s="8" t="str">
        <f t="array" ref="D194">IF(C194="","",IFERROR(_xlfn.XLOOKUP(C194,Estoque!$A:$A,Estoque!$B:$B,""),""))</f>
        <v/>
      </c>
      <c r="E194" s="8"/>
      <c r="F194" s="8"/>
    </row>
    <row r="195" ht="15.75" customHeight="1">
      <c r="A195" s="9"/>
      <c r="B195" s="8"/>
      <c r="C195" s="8"/>
      <c r="D195" s="8" t="str">
        <f t="array" ref="D195">IF(C195="","",IFERROR(_xlfn.XLOOKUP(C195,Estoque!$A:$A,Estoque!$B:$B,""),""))</f>
        <v/>
      </c>
      <c r="E195" s="8"/>
      <c r="F195" s="8"/>
    </row>
    <row r="196" ht="15.75" customHeight="1">
      <c r="A196" s="9"/>
      <c r="B196" s="8"/>
      <c r="C196" s="8"/>
      <c r="D196" s="8" t="str">
        <f t="array" ref="D196">IF(C196="","",IFERROR(_xlfn.XLOOKUP(C196,Estoque!$A:$A,Estoque!$B:$B,""),""))</f>
        <v/>
      </c>
      <c r="E196" s="8"/>
      <c r="F196" s="8"/>
    </row>
    <row r="197" ht="15.75" customHeight="1">
      <c r="A197" s="9"/>
      <c r="B197" s="8"/>
      <c r="C197" s="8"/>
      <c r="D197" s="8" t="str">
        <f t="array" ref="D197">IF(C197="","",IFERROR(_xlfn.XLOOKUP(C197,Estoque!$A:$A,Estoque!$B:$B,""),""))</f>
        <v/>
      </c>
      <c r="E197" s="8"/>
      <c r="F197" s="8"/>
    </row>
    <row r="198" ht="15.75" customHeight="1">
      <c r="A198" s="9"/>
      <c r="B198" s="8"/>
      <c r="C198" s="8"/>
      <c r="D198" s="8" t="str">
        <f t="array" ref="D198">IF(C198="","",IFERROR(_xlfn.XLOOKUP(C198,Estoque!$A:$A,Estoque!$B:$B,""),""))</f>
        <v/>
      </c>
      <c r="E198" s="8"/>
      <c r="F198" s="8"/>
    </row>
    <row r="199" ht="15.75" customHeight="1">
      <c r="A199" s="9"/>
      <c r="B199" s="8"/>
      <c r="C199" s="8"/>
      <c r="D199" s="8" t="str">
        <f t="array" ref="D199">IF(C199="","",IFERROR(_xlfn.XLOOKUP(C199,Estoque!$A:$A,Estoque!$B:$B,""),""))</f>
        <v/>
      </c>
      <c r="E199" s="8"/>
      <c r="F199" s="8"/>
    </row>
    <row r="200" ht="15.75" customHeight="1">
      <c r="A200" s="9"/>
      <c r="B200" s="8"/>
      <c r="C200" s="8"/>
      <c r="D200" s="8" t="str">
        <f t="array" ref="D200">IF(C200="","",IFERROR(_xlfn.XLOOKUP(C200,Estoque!$A:$A,Estoque!$B:$B,""),""))</f>
        <v/>
      </c>
      <c r="E200" s="8"/>
      <c r="F200" s="8"/>
    </row>
    <row r="201" ht="15.75" customHeight="1">
      <c r="A201" s="9"/>
      <c r="B201" s="8"/>
      <c r="C201" s="8"/>
      <c r="D201" s="8" t="str">
        <f t="array" ref="D201">IF(C201="","",IFERROR(_xlfn.XLOOKUP(C201,Estoque!$A:$A,Estoque!$B:$B,""),""))</f>
        <v/>
      </c>
      <c r="E201" s="8"/>
      <c r="F201" s="8"/>
    </row>
    <row r="202" ht="15.75" customHeight="1">
      <c r="A202" s="9"/>
      <c r="B202" s="8"/>
      <c r="C202" s="8"/>
      <c r="D202" s="8" t="str">
        <f t="array" ref="D202">IF(C202="","",IFERROR(_xlfn.XLOOKUP(C202,Estoque!$A:$A,Estoque!$B:$B,""),""))</f>
        <v/>
      </c>
      <c r="E202" s="8"/>
      <c r="F202" s="8"/>
    </row>
    <row r="203" ht="15.75" customHeight="1">
      <c r="A203" s="9"/>
      <c r="B203" s="8"/>
      <c r="C203" s="8"/>
      <c r="D203" s="8" t="str">
        <f t="array" ref="D203">IF(C203="","",IFERROR(_xlfn.XLOOKUP(C203,Estoque!$A:$A,Estoque!$B:$B,""),""))</f>
        <v/>
      </c>
      <c r="E203" s="8"/>
      <c r="F203" s="8"/>
    </row>
    <row r="204" ht="15.75" customHeight="1">
      <c r="A204" s="9"/>
      <c r="B204" s="8"/>
      <c r="C204" s="8"/>
      <c r="D204" s="8" t="str">
        <f t="array" ref="D204">IF(C204="","",IFERROR(_xlfn.XLOOKUP(C204,Estoque!$A:$A,Estoque!$B:$B,""),""))</f>
        <v/>
      </c>
      <c r="E204" s="8"/>
      <c r="F204" s="8"/>
    </row>
    <row r="205" ht="15.75" customHeight="1">
      <c r="A205" s="9"/>
      <c r="B205" s="8"/>
      <c r="C205" s="8"/>
      <c r="D205" s="8" t="str">
        <f t="array" ref="D205">IF(C205="","",IFERROR(_xlfn.XLOOKUP(C205,Estoque!$A:$A,Estoque!$B:$B,""),""))</f>
        <v/>
      </c>
      <c r="E205" s="8"/>
      <c r="F205" s="8"/>
    </row>
    <row r="206" ht="15.75" customHeight="1">
      <c r="A206" s="9"/>
      <c r="B206" s="8"/>
      <c r="C206" s="8"/>
      <c r="D206" s="8" t="str">
        <f t="array" ref="D206">IF(C206="","",IFERROR(_xlfn.XLOOKUP(C206,Estoque!$A:$A,Estoque!$B:$B,""),""))</f>
        <v/>
      </c>
      <c r="E206" s="8"/>
      <c r="F206" s="8"/>
    </row>
    <row r="207" ht="15.75" customHeight="1">
      <c r="A207" s="9"/>
      <c r="B207" s="8"/>
      <c r="C207" s="8"/>
      <c r="D207" s="8" t="str">
        <f t="array" ref="D207">IF(C207="","",IFERROR(_xlfn.XLOOKUP(C207,Estoque!$A:$A,Estoque!$B:$B,""),""))</f>
        <v/>
      </c>
      <c r="E207" s="8"/>
      <c r="F207" s="8"/>
    </row>
    <row r="208" ht="15.75" customHeight="1">
      <c r="A208" s="9"/>
      <c r="B208" s="8"/>
      <c r="C208" s="8"/>
      <c r="D208" s="8" t="str">
        <f t="array" ref="D208">IF(C208="","",IFERROR(_xlfn.XLOOKUP(C208,Estoque!$A:$A,Estoque!$B:$B,""),""))</f>
        <v/>
      </c>
      <c r="E208" s="8"/>
      <c r="F208" s="8"/>
    </row>
    <row r="209" ht="15.75" customHeight="1">
      <c r="A209" s="9"/>
      <c r="B209" s="8"/>
      <c r="C209" s="8"/>
      <c r="D209" s="8" t="str">
        <f t="array" ref="D209">IF(C209="","",IFERROR(_xlfn.XLOOKUP(C209,Estoque!$A:$A,Estoque!$B:$B,""),""))</f>
        <v/>
      </c>
      <c r="E209" s="8"/>
      <c r="F209" s="8"/>
    </row>
    <row r="210" ht="15.75" customHeight="1">
      <c r="A210" s="9"/>
      <c r="B210" s="8"/>
      <c r="C210" s="8"/>
      <c r="D210" s="8" t="str">
        <f t="array" ref="D210">IF(C210="","",IFERROR(_xlfn.XLOOKUP(C210,Estoque!$A:$A,Estoque!$B:$B,""),""))</f>
        <v/>
      </c>
      <c r="E210" s="8"/>
      <c r="F210" s="8"/>
    </row>
    <row r="211" ht="15.75" customHeight="1">
      <c r="A211" s="9"/>
      <c r="B211" s="8"/>
      <c r="C211" s="8"/>
      <c r="D211" s="8" t="str">
        <f t="array" ref="D211">IF(C211="","",IFERROR(_xlfn.XLOOKUP(C211,Estoque!$A:$A,Estoque!$B:$B,""),""))</f>
        <v/>
      </c>
      <c r="E211" s="8"/>
      <c r="F211" s="8"/>
    </row>
    <row r="212" ht="15.75" customHeight="1">
      <c r="A212" s="9"/>
      <c r="B212" s="8"/>
      <c r="C212" s="8"/>
      <c r="D212" s="8" t="str">
        <f t="array" ref="D212">IF(C212="","",IFERROR(_xlfn.XLOOKUP(C212,Estoque!$A:$A,Estoque!$B:$B,""),""))</f>
        <v/>
      </c>
      <c r="E212" s="8"/>
      <c r="F212" s="8"/>
    </row>
    <row r="213" ht="15.75" customHeight="1">
      <c r="A213" s="9"/>
      <c r="B213" s="8"/>
      <c r="C213" s="8"/>
      <c r="D213" s="8" t="str">
        <f t="array" ref="D213">IF(C213="","",IFERROR(_xlfn.XLOOKUP(C213,Estoque!$A:$A,Estoque!$B:$B,""),""))</f>
        <v/>
      </c>
      <c r="E213" s="8"/>
      <c r="F213" s="8"/>
    </row>
    <row r="214" ht="15.75" customHeight="1">
      <c r="A214" s="9"/>
      <c r="B214" s="8"/>
      <c r="C214" s="8"/>
      <c r="D214" s="8" t="str">
        <f t="array" ref="D214">IF(C214="","",IFERROR(_xlfn.XLOOKUP(C214,Estoque!$A:$A,Estoque!$B:$B,""),""))</f>
        <v/>
      </c>
      <c r="E214" s="8"/>
      <c r="F214" s="8"/>
    </row>
    <row r="215" ht="15.75" customHeight="1">
      <c r="A215" s="9"/>
      <c r="B215" s="8"/>
      <c r="C215" s="8"/>
      <c r="D215" s="8" t="str">
        <f t="array" ref="D215">IF(C215="","",IFERROR(_xlfn.XLOOKUP(C215,Estoque!$A:$A,Estoque!$B:$B,""),""))</f>
        <v/>
      </c>
      <c r="E215" s="8"/>
      <c r="F215" s="8"/>
    </row>
    <row r="216" ht="15.75" customHeight="1">
      <c r="A216" s="9"/>
      <c r="B216" s="8"/>
      <c r="C216" s="8"/>
      <c r="D216" s="8" t="str">
        <f t="array" ref="D216">IF(C216="","",IFERROR(_xlfn.XLOOKUP(C216,Estoque!$A:$A,Estoque!$B:$B,""),""))</f>
        <v/>
      </c>
      <c r="E216" s="8"/>
      <c r="F216" s="8"/>
    </row>
    <row r="217" ht="15.75" customHeight="1">
      <c r="A217" s="9"/>
      <c r="B217" s="8"/>
      <c r="C217" s="8"/>
      <c r="D217" s="8" t="str">
        <f t="array" ref="D217">IF(C217="","",IFERROR(_xlfn.XLOOKUP(C217,Estoque!$A:$A,Estoque!$B:$B,""),""))</f>
        <v/>
      </c>
      <c r="E217" s="8"/>
      <c r="F217" s="8"/>
    </row>
    <row r="218" ht="15.75" customHeight="1">
      <c r="A218" s="9"/>
      <c r="B218" s="8"/>
      <c r="C218" s="8"/>
      <c r="D218" s="8" t="str">
        <f t="array" ref="D218">IF(C218="","",IFERROR(_xlfn.XLOOKUP(C218,Estoque!$A:$A,Estoque!$B:$B,""),""))</f>
        <v/>
      </c>
      <c r="E218" s="8"/>
      <c r="F218" s="8"/>
    </row>
    <row r="219" ht="15.75" customHeight="1">
      <c r="A219" s="9"/>
      <c r="B219" s="8"/>
      <c r="C219" s="8"/>
      <c r="D219" s="8" t="str">
        <f t="array" ref="D219">IF(C219="","",IFERROR(_xlfn.XLOOKUP(C219,Estoque!$A:$A,Estoque!$B:$B,""),""))</f>
        <v/>
      </c>
      <c r="E219" s="8"/>
      <c r="F219" s="8"/>
    </row>
    <row r="220" ht="15.75" customHeight="1">
      <c r="A220" s="9"/>
      <c r="B220" s="8"/>
      <c r="C220" s="8"/>
      <c r="D220" s="8" t="str">
        <f t="array" ref="D220">IF(C220="","",IFERROR(_xlfn.XLOOKUP(C220,Estoque!$A:$A,Estoque!$B:$B,""),""))</f>
        <v/>
      </c>
      <c r="E220" s="8"/>
      <c r="F220" s="8"/>
    </row>
    <row r="221" ht="15.75" customHeight="1">
      <c r="A221" s="9"/>
      <c r="B221" s="8"/>
      <c r="C221" s="8"/>
      <c r="D221" s="8" t="str">
        <f t="array" ref="D221">IF(C221="","",IFERROR(_xlfn.XLOOKUP(C221,Estoque!$A:$A,Estoque!$B:$B,""),""))</f>
        <v/>
      </c>
      <c r="E221" s="8"/>
      <c r="F221" s="8"/>
    </row>
    <row r="222" ht="15.75" customHeight="1">
      <c r="A222" s="9"/>
      <c r="B222" s="8"/>
      <c r="C222" s="8"/>
      <c r="D222" s="8" t="str">
        <f t="array" ref="D222">IF(C222="","",IFERROR(_xlfn.XLOOKUP(C222,Estoque!$A:$A,Estoque!$B:$B,""),""))</f>
        <v/>
      </c>
      <c r="E222" s="8"/>
      <c r="F222" s="8"/>
    </row>
    <row r="223" ht="15.75" customHeight="1">
      <c r="A223" s="9"/>
      <c r="B223" s="8"/>
      <c r="C223" s="8"/>
      <c r="D223" s="8" t="str">
        <f t="array" ref="D223">IF(C223="","",IFERROR(_xlfn.XLOOKUP(C223,Estoque!$A:$A,Estoque!$B:$B,""),""))</f>
        <v/>
      </c>
      <c r="E223" s="8"/>
      <c r="F223" s="8"/>
    </row>
    <row r="224" ht="15.75" customHeight="1">
      <c r="A224" s="9"/>
      <c r="B224" s="8"/>
      <c r="C224" s="8"/>
      <c r="D224" s="8" t="str">
        <f t="array" ref="D224">IF(C224="","",IFERROR(_xlfn.XLOOKUP(C224,Estoque!$A:$A,Estoque!$B:$B,""),""))</f>
        <v/>
      </c>
      <c r="E224" s="8"/>
      <c r="F224" s="8"/>
    </row>
    <row r="225" ht="15.75" customHeight="1">
      <c r="A225" s="9"/>
      <c r="B225" s="8"/>
      <c r="C225" s="8"/>
      <c r="D225" s="8" t="str">
        <f t="array" ref="D225">IF(C225="","",IFERROR(_xlfn.XLOOKUP(C225,Estoque!$A:$A,Estoque!$B:$B,""),""))</f>
        <v/>
      </c>
      <c r="E225" s="8"/>
      <c r="F225" s="8"/>
    </row>
    <row r="226" ht="15.75" customHeight="1">
      <c r="A226" s="9"/>
      <c r="B226" s="8"/>
      <c r="C226" s="8"/>
      <c r="D226" s="8" t="str">
        <f t="array" ref="D226">IF(C226="","",IFERROR(_xlfn.XLOOKUP(C226,Estoque!$A:$A,Estoque!$B:$B,""),""))</f>
        <v/>
      </c>
      <c r="E226" s="8"/>
      <c r="F226" s="8"/>
    </row>
    <row r="227" ht="15.75" customHeight="1">
      <c r="A227" s="9"/>
      <c r="B227" s="8"/>
      <c r="C227" s="8"/>
      <c r="D227" s="8" t="str">
        <f t="array" ref="D227">IF(C227="","",IFERROR(_xlfn.XLOOKUP(C227,Estoque!$A:$A,Estoque!$B:$B,""),""))</f>
        <v/>
      </c>
      <c r="E227" s="8"/>
      <c r="F227" s="8"/>
    </row>
    <row r="228" ht="15.75" customHeight="1">
      <c r="A228" s="9"/>
      <c r="B228" s="8"/>
      <c r="C228" s="8"/>
      <c r="D228" s="8" t="str">
        <f t="array" ref="D228">IF(C228="","",IFERROR(_xlfn.XLOOKUP(C228,Estoque!$A:$A,Estoque!$B:$B,""),""))</f>
        <v/>
      </c>
      <c r="E228" s="8"/>
      <c r="F228" s="8"/>
    </row>
    <row r="229" ht="15.75" customHeight="1">
      <c r="A229" s="9"/>
      <c r="B229" s="8"/>
      <c r="C229" s="8"/>
      <c r="D229" s="8" t="str">
        <f t="array" ref="D229">IF(C229="","",IFERROR(_xlfn.XLOOKUP(C229,Estoque!$A:$A,Estoque!$B:$B,""),""))</f>
        <v/>
      </c>
      <c r="E229" s="8"/>
      <c r="F229" s="8"/>
    </row>
    <row r="230" ht="15.75" customHeight="1">
      <c r="A230" s="9"/>
      <c r="B230" s="8"/>
      <c r="C230" s="8"/>
      <c r="D230" s="8" t="str">
        <f t="array" ref="D230">IF(C230="","",IFERROR(_xlfn.XLOOKUP(C230,Estoque!$A:$A,Estoque!$B:$B,""),""))</f>
        <v/>
      </c>
      <c r="E230" s="8"/>
      <c r="F230" s="8"/>
    </row>
    <row r="231" ht="15.75" customHeight="1">
      <c r="A231" s="9"/>
      <c r="B231" s="8"/>
      <c r="C231" s="8"/>
      <c r="D231" s="8" t="str">
        <f t="array" ref="D231">IF(C231="","",IFERROR(_xlfn.XLOOKUP(C231,Estoque!$A:$A,Estoque!$B:$B,""),""))</f>
        <v/>
      </c>
      <c r="E231" s="8"/>
      <c r="F231" s="8"/>
    </row>
    <row r="232" ht="15.75" customHeight="1">
      <c r="A232" s="9"/>
      <c r="B232" s="8"/>
      <c r="C232" s="8"/>
      <c r="D232" s="8" t="str">
        <f t="array" ref="D232">IF(C232="","",IFERROR(_xlfn.XLOOKUP(C232,Estoque!$A:$A,Estoque!$B:$B,""),""))</f>
        <v/>
      </c>
      <c r="E232" s="8"/>
      <c r="F232" s="8"/>
    </row>
    <row r="233" ht="15.75" customHeight="1">
      <c r="A233" s="9"/>
      <c r="B233" s="8"/>
      <c r="C233" s="8"/>
      <c r="D233" s="8" t="str">
        <f t="array" ref="D233">IF(C233="","",IFERROR(_xlfn.XLOOKUP(C233,Estoque!$A:$A,Estoque!$B:$B,""),""))</f>
        <v/>
      </c>
      <c r="E233" s="8"/>
      <c r="F233" s="8"/>
    </row>
    <row r="234" ht="15.75" customHeight="1">
      <c r="A234" s="9"/>
      <c r="B234" s="8"/>
      <c r="C234" s="8"/>
      <c r="D234" s="8" t="str">
        <f t="array" ref="D234">IF(C234="","",IFERROR(_xlfn.XLOOKUP(C234,Estoque!$A:$A,Estoque!$B:$B,""),""))</f>
        <v/>
      </c>
      <c r="E234" s="8"/>
      <c r="F234" s="8"/>
    </row>
    <row r="235" ht="15.75" customHeight="1">
      <c r="A235" s="9"/>
      <c r="B235" s="8"/>
      <c r="C235" s="8"/>
      <c r="D235" s="8" t="str">
        <f t="array" ref="D235">IF(C235="","",IFERROR(_xlfn.XLOOKUP(C235,Estoque!$A:$A,Estoque!$B:$B,""),""))</f>
        <v/>
      </c>
      <c r="E235" s="8"/>
      <c r="F235" s="8"/>
    </row>
    <row r="236" ht="15.75" customHeight="1">
      <c r="A236" s="9"/>
      <c r="B236" s="8"/>
      <c r="C236" s="8"/>
      <c r="D236" s="8" t="str">
        <f t="array" ref="D236">IF(C236="","",IFERROR(_xlfn.XLOOKUP(C236,Estoque!$A:$A,Estoque!$B:$B,""),""))</f>
        <v/>
      </c>
      <c r="E236" s="8"/>
      <c r="F236" s="8"/>
    </row>
    <row r="237" ht="15.75" customHeight="1">
      <c r="A237" s="9"/>
      <c r="B237" s="8"/>
      <c r="C237" s="8"/>
      <c r="D237" s="8" t="str">
        <f t="array" ref="D237">IF(C237="","",IFERROR(_xlfn.XLOOKUP(C237,Estoque!$A:$A,Estoque!$B:$B,""),""))</f>
        <v/>
      </c>
      <c r="E237" s="8"/>
      <c r="F237" s="8"/>
    </row>
    <row r="238" ht="15.75" customHeight="1">
      <c r="A238" s="9"/>
      <c r="B238" s="8"/>
      <c r="C238" s="8"/>
      <c r="D238" s="8" t="str">
        <f t="array" ref="D238">IF(C238="","",IFERROR(_xlfn.XLOOKUP(C238,Estoque!$A:$A,Estoque!$B:$B,""),""))</f>
        <v/>
      </c>
      <c r="E238" s="8"/>
      <c r="F238" s="8"/>
    </row>
    <row r="239" ht="15.75" customHeight="1">
      <c r="A239" s="9"/>
      <c r="B239" s="8"/>
      <c r="C239" s="8"/>
      <c r="D239" s="8" t="str">
        <f t="array" ref="D239">IF(C239="","",IFERROR(_xlfn.XLOOKUP(C239,Estoque!$A:$A,Estoque!$B:$B,""),""))</f>
        <v/>
      </c>
      <c r="E239" s="8"/>
      <c r="F239" s="8"/>
    </row>
    <row r="240" ht="15.75" customHeight="1">
      <c r="A240" s="9"/>
      <c r="B240" s="8"/>
      <c r="C240" s="8"/>
      <c r="D240" s="8" t="str">
        <f t="array" ref="D240">IF(C240="","",IFERROR(_xlfn.XLOOKUP(C240,Estoque!$A:$A,Estoque!$B:$B,""),""))</f>
        <v/>
      </c>
      <c r="E240" s="8"/>
      <c r="F240" s="8"/>
    </row>
    <row r="241" ht="15.75" customHeight="1">
      <c r="A241" s="9"/>
      <c r="B241" s="8"/>
      <c r="C241" s="8"/>
      <c r="D241" s="8" t="str">
        <f t="array" ref="D241">IF(C241="","",IFERROR(_xlfn.XLOOKUP(C241,Estoque!$A:$A,Estoque!$B:$B,""),""))</f>
        <v/>
      </c>
      <c r="E241" s="8"/>
      <c r="F241" s="8"/>
    </row>
    <row r="242" ht="15.75" customHeight="1">
      <c r="A242" s="9"/>
      <c r="B242" s="8"/>
      <c r="C242" s="8"/>
      <c r="D242" s="8" t="str">
        <f t="array" ref="D242">IF(C242="","",IFERROR(_xlfn.XLOOKUP(C242,Estoque!$A:$A,Estoque!$B:$B,""),""))</f>
        <v/>
      </c>
      <c r="E242" s="8"/>
      <c r="F242" s="8"/>
    </row>
    <row r="243" ht="15.75" customHeight="1">
      <c r="A243" s="9"/>
      <c r="B243" s="8"/>
      <c r="C243" s="8"/>
      <c r="D243" s="8" t="str">
        <f t="array" ref="D243">IF(C243="","",IFERROR(_xlfn.XLOOKUP(C243,Estoque!$A:$A,Estoque!$B:$B,""),""))</f>
        <v/>
      </c>
      <c r="E243" s="8"/>
      <c r="F243" s="8"/>
    </row>
    <row r="244" ht="15.75" customHeight="1">
      <c r="A244" s="9"/>
      <c r="B244" s="8"/>
      <c r="C244" s="8"/>
      <c r="D244" s="8" t="str">
        <f t="array" ref="D244">IF(C244="","",IFERROR(_xlfn.XLOOKUP(C244,Estoque!$A:$A,Estoque!$B:$B,""),""))</f>
        <v/>
      </c>
      <c r="E244" s="8"/>
      <c r="F244" s="8"/>
    </row>
    <row r="245" ht="15.75" customHeight="1">
      <c r="A245" s="9"/>
      <c r="B245" s="8"/>
      <c r="C245" s="8"/>
      <c r="D245" s="8" t="str">
        <f t="array" ref="D245">IF(C245="","",IFERROR(_xlfn.XLOOKUP(C245,Estoque!$A:$A,Estoque!$B:$B,""),""))</f>
        <v/>
      </c>
      <c r="E245" s="8"/>
      <c r="F245" s="8"/>
    </row>
    <row r="246" ht="15.75" customHeight="1">
      <c r="A246" s="9"/>
      <c r="B246" s="8"/>
      <c r="C246" s="8"/>
      <c r="D246" s="8" t="str">
        <f t="array" ref="D246">IF(C246="","",IFERROR(_xlfn.XLOOKUP(C246,Estoque!$A:$A,Estoque!$B:$B,""),""))</f>
        <v/>
      </c>
      <c r="E246" s="8"/>
      <c r="F246" s="8"/>
    </row>
    <row r="247" ht="15.75" customHeight="1">
      <c r="A247" s="9"/>
      <c r="B247" s="8"/>
      <c r="C247" s="8"/>
      <c r="D247" s="8" t="str">
        <f t="array" ref="D247">IF(C247="","",IFERROR(_xlfn.XLOOKUP(C247,Estoque!$A:$A,Estoque!$B:$B,""),""))</f>
        <v/>
      </c>
      <c r="E247" s="8"/>
      <c r="F247" s="8"/>
    </row>
    <row r="248" ht="15.75" customHeight="1">
      <c r="A248" s="9"/>
      <c r="B248" s="8"/>
      <c r="C248" s="8"/>
      <c r="D248" s="8" t="str">
        <f t="array" ref="D248">IF(C248="","",IFERROR(_xlfn.XLOOKUP(C248,Estoque!$A:$A,Estoque!$B:$B,""),""))</f>
        <v/>
      </c>
      <c r="E248" s="8"/>
      <c r="F248" s="8"/>
    </row>
    <row r="249" ht="15.75" customHeight="1">
      <c r="A249" s="9"/>
      <c r="B249" s="8"/>
      <c r="C249" s="8"/>
      <c r="D249" s="8" t="str">
        <f t="array" ref="D249">IF(C249="","",IFERROR(_xlfn.XLOOKUP(C249,Estoque!$A:$A,Estoque!$B:$B,""),""))</f>
        <v/>
      </c>
      <c r="E249" s="8"/>
      <c r="F249" s="8"/>
    </row>
    <row r="250" ht="15.75" customHeight="1">
      <c r="A250" s="9"/>
      <c r="B250" s="8"/>
      <c r="C250" s="8"/>
      <c r="D250" s="8" t="str">
        <f t="array" ref="D250">IF(C250="","",IFERROR(_xlfn.XLOOKUP(C250,Estoque!$A:$A,Estoque!$B:$B,""),""))</f>
        <v/>
      </c>
      <c r="E250" s="8"/>
      <c r="F250" s="8"/>
    </row>
    <row r="251" ht="15.75" customHeight="1">
      <c r="A251" s="9"/>
      <c r="B251" s="8"/>
      <c r="C251" s="8"/>
      <c r="D251" s="8" t="str">
        <f t="array" ref="D251">IF(C251="","",IFERROR(_xlfn.XLOOKUP(C251,Estoque!$A:$A,Estoque!$B:$B,""),""))</f>
        <v/>
      </c>
      <c r="E251" s="8"/>
      <c r="F251" s="8"/>
    </row>
    <row r="252" ht="15.75" customHeight="1">
      <c r="A252" s="9"/>
      <c r="B252" s="8"/>
      <c r="C252" s="8"/>
      <c r="D252" s="8" t="str">
        <f t="array" ref="D252">IF(C252="","",IFERROR(_xlfn.XLOOKUP(C252,Estoque!$A:$A,Estoque!$B:$B,""),""))</f>
        <v/>
      </c>
      <c r="E252" s="8"/>
      <c r="F252" s="8"/>
    </row>
    <row r="253" ht="15.75" customHeight="1">
      <c r="A253" s="9"/>
      <c r="B253" s="8"/>
      <c r="C253" s="8"/>
      <c r="D253" s="8" t="str">
        <f t="array" ref="D253">IF(C253="","",IFERROR(_xlfn.XLOOKUP(C253,Estoque!$A:$A,Estoque!$B:$B,""),""))</f>
        <v/>
      </c>
      <c r="E253" s="8"/>
      <c r="F253" s="8"/>
    </row>
    <row r="254" ht="15.75" customHeight="1">
      <c r="A254" s="9"/>
      <c r="B254" s="8"/>
      <c r="C254" s="8"/>
      <c r="D254" s="8" t="str">
        <f t="array" ref="D254">IF(C254="","",IFERROR(_xlfn.XLOOKUP(C254,Estoque!$A:$A,Estoque!$B:$B,""),""))</f>
        <v/>
      </c>
      <c r="E254" s="8"/>
      <c r="F254" s="8"/>
    </row>
    <row r="255" ht="15.75" customHeight="1">
      <c r="A255" s="9"/>
      <c r="B255" s="8"/>
      <c r="C255" s="8"/>
      <c r="D255" s="8" t="str">
        <f t="array" ref="D255">IF(C255="","",IFERROR(_xlfn.XLOOKUP(C255,Estoque!$A:$A,Estoque!$B:$B,""),""))</f>
        <v/>
      </c>
      <c r="E255" s="8"/>
      <c r="F255" s="8"/>
    </row>
    <row r="256" ht="15.75" customHeight="1">
      <c r="A256" s="9"/>
      <c r="B256" s="8"/>
      <c r="C256" s="8"/>
      <c r="D256" s="8" t="str">
        <f t="array" ref="D256">IF(C256="","",IFERROR(_xlfn.XLOOKUP(C256,Estoque!$A:$A,Estoque!$B:$B,""),""))</f>
        <v/>
      </c>
      <c r="E256" s="8"/>
      <c r="F256" s="8"/>
    </row>
    <row r="257" ht="15.75" customHeight="1">
      <c r="A257" s="9"/>
      <c r="B257" s="8"/>
      <c r="C257" s="8"/>
      <c r="D257" s="8" t="str">
        <f t="array" ref="D257">IF(C257="","",IFERROR(_xlfn.XLOOKUP(C257,Estoque!$A:$A,Estoque!$B:$B,""),""))</f>
        <v/>
      </c>
      <c r="E257" s="8"/>
      <c r="F257" s="8"/>
    </row>
    <row r="258" ht="15.75" customHeight="1">
      <c r="A258" s="9"/>
      <c r="B258" s="8"/>
      <c r="C258" s="8"/>
      <c r="D258" s="8" t="str">
        <f t="array" ref="D258">IF(C258="","",IFERROR(_xlfn.XLOOKUP(C258,Estoque!$A:$A,Estoque!$B:$B,""),""))</f>
        <v/>
      </c>
      <c r="E258" s="8"/>
      <c r="F258" s="8"/>
    </row>
    <row r="259" ht="15.75" customHeight="1">
      <c r="A259" s="9"/>
      <c r="B259" s="8"/>
      <c r="C259" s="8"/>
      <c r="D259" s="8" t="str">
        <f t="array" ref="D259">IF(C259="","",IFERROR(_xlfn.XLOOKUP(C259,Estoque!$A:$A,Estoque!$B:$B,""),""))</f>
        <v/>
      </c>
      <c r="E259" s="8"/>
      <c r="F259" s="8"/>
    </row>
    <row r="260" ht="15.75" customHeight="1">
      <c r="A260" s="9"/>
      <c r="B260" s="8"/>
      <c r="C260" s="8"/>
      <c r="D260" s="8" t="str">
        <f t="array" ref="D260">IF(C260="","",IFERROR(_xlfn.XLOOKUP(C260,Estoque!$A:$A,Estoque!$B:$B,""),""))</f>
        <v/>
      </c>
      <c r="E260" s="8"/>
      <c r="F260" s="8"/>
    </row>
    <row r="261" ht="15.75" customHeight="1">
      <c r="A261" s="9"/>
      <c r="B261" s="8"/>
      <c r="C261" s="8"/>
      <c r="D261" s="8" t="str">
        <f t="array" ref="D261">IF(C261="","",IFERROR(_xlfn.XLOOKUP(C261,Estoque!$A:$A,Estoque!$B:$B,""),""))</f>
        <v/>
      </c>
      <c r="E261" s="8"/>
      <c r="F261" s="8"/>
    </row>
    <row r="262" ht="15.75" customHeight="1">
      <c r="A262" s="9"/>
      <c r="B262" s="8"/>
      <c r="C262" s="8"/>
      <c r="D262" s="8" t="str">
        <f t="array" ref="D262">IF(C262="","",IFERROR(_xlfn.XLOOKUP(C262,Estoque!$A:$A,Estoque!$B:$B,""),""))</f>
        <v/>
      </c>
      <c r="E262" s="8"/>
      <c r="F262" s="8"/>
    </row>
    <row r="263" ht="15.75" customHeight="1">
      <c r="A263" s="9"/>
      <c r="B263" s="8"/>
      <c r="C263" s="8"/>
      <c r="D263" s="8" t="str">
        <f t="array" ref="D263">IF(C263="","",IFERROR(_xlfn.XLOOKUP(C263,Estoque!$A:$A,Estoque!$B:$B,""),""))</f>
        <v/>
      </c>
      <c r="E263" s="8"/>
      <c r="F263" s="8"/>
    </row>
    <row r="264" ht="15.75" customHeight="1">
      <c r="A264" s="9"/>
      <c r="B264" s="8"/>
      <c r="C264" s="8"/>
      <c r="D264" s="8" t="str">
        <f t="array" ref="D264">IF(C264="","",IFERROR(_xlfn.XLOOKUP(C264,Estoque!$A:$A,Estoque!$B:$B,""),""))</f>
        <v/>
      </c>
      <c r="E264" s="8"/>
      <c r="F264" s="8"/>
    </row>
    <row r="265" ht="15.75" customHeight="1">
      <c r="A265" s="9"/>
      <c r="B265" s="8"/>
      <c r="C265" s="8"/>
      <c r="D265" s="8" t="str">
        <f t="array" ref="D265">IF(C265="","",IFERROR(_xlfn.XLOOKUP(C265,Estoque!$A:$A,Estoque!$B:$B,""),""))</f>
        <v/>
      </c>
      <c r="E265" s="8"/>
      <c r="F265" s="8"/>
    </row>
    <row r="266" ht="15.75" customHeight="1">
      <c r="A266" s="9"/>
      <c r="B266" s="8"/>
      <c r="C266" s="8"/>
      <c r="D266" s="8" t="str">
        <f t="array" ref="D266">IF(C266="","",IFERROR(_xlfn.XLOOKUP(C266,Estoque!$A:$A,Estoque!$B:$B,""),""))</f>
        <v/>
      </c>
      <c r="E266" s="8"/>
      <c r="F266" s="8"/>
    </row>
    <row r="267" ht="15.75" customHeight="1">
      <c r="A267" s="9"/>
      <c r="B267" s="8"/>
      <c r="C267" s="8"/>
      <c r="D267" s="8" t="str">
        <f t="array" ref="D267">IF(C267="","",IFERROR(_xlfn.XLOOKUP(C267,Estoque!$A:$A,Estoque!$B:$B,""),""))</f>
        <v/>
      </c>
      <c r="E267" s="8"/>
      <c r="F267" s="8"/>
    </row>
    <row r="268" ht="15.75" customHeight="1">
      <c r="A268" s="9"/>
      <c r="B268" s="8"/>
      <c r="C268" s="8"/>
      <c r="D268" s="8" t="str">
        <f t="array" ref="D268">IF(C268="","",IFERROR(_xlfn.XLOOKUP(C268,Estoque!$A:$A,Estoque!$B:$B,""),""))</f>
        <v/>
      </c>
      <c r="E268" s="8"/>
      <c r="F268" s="8"/>
    </row>
    <row r="269" ht="15.75" customHeight="1">
      <c r="A269" s="9"/>
      <c r="B269" s="8"/>
      <c r="C269" s="8"/>
      <c r="D269" s="8" t="str">
        <f t="array" ref="D269">IF(C269="","",IFERROR(_xlfn.XLOOKUP(C269,Estoque!$A:$A,Estoque!$B:$B,""),""))</f>
        <v/>
      </c>
      <c r="E269" s="8"/>
      <c r="F269" s="8"/>
    </row>
    <row r="270" ht="15.75" customHeight="1">
      <c r="A270" s="9"/>
      <c r="B270" s="8"/>
      <c r="C270" s="8"/>
      <c r="D270" s="8" t="str">
        <f t="array" ref="D270">IF(C270="","",IFERROR(_xlfn.XLOOKUP(C270,Estoque!$A:$A,Estoque!$B:$B,""),""))</f>
        <v/>
      </c>
      <c r="E270" s="8"/>
      <c r="F270" s="8"/>
    </row>
    <row r="271" ht="15.75" customHeight="1">
      <c r="A271" s="9"/>
      <c r="B271" s="8"/>
      <c r="C271" s="8"/>
      <c r="D271" s="8" t="str">
        <f t="array" ref="D271">IF(C271="","",IFERROR(_xlfn.XLOOKUP(C271,Estoque!$A:$A,Estoque!$B:$B,""),""))</f>
        <v/>
      </c>
      <c r="E271" s="8"/>
      <c r="F271" s="8"/>
    </row>
    <row r="272" ht="15.75" customHeight="1">
      <c r="A272" s="9"/>
      <c r="B272" s="8"/>
      <c r="C272" s="8"/>
      <c r="D272" s="8" t="str">
        <f t="array" ref="D272">IF(C272="","",IFERROR(_xlfn.XLOOKUP(C272,Estoque!$A:$A,Estoque!$B:$B,""),""))</f>
        <v/>
      </c>
      <c r="E272" s="8"/>
      <c r="F272" s="8"/>
    </row>
    <row r="273" ht="15.75" customHeight="1">
      <c r="A273" s="9"/>
      <c r="B273" s="8"/>
      <c r="C273" s="8"/>
      <c r="D273" s="8" t="str">
        <f t="array" ref="D273">IF(C273="","",IFERROR(_xlfn.XLOOKUP(C273,Estoque!$A:$A,Estoque!$B:$B,""),""))</f>
        <v/>
      </c>
      <c r="E273" s="8"/>
      <c r="F273" s="8"/>
    </row>
    <row r="274" ht="15.75" customHeight="1">
      <c r="A274" s="9"/>
      <c r="B274" s="8"/>
      <c r="C274" s="8"/>
      <c r="D274" s="8" t="str">
        <f t="array" ref="D274">IF(C274="","",IFERROR(_xlfn.XLOOKUP(C274,Estoque!$A:$A,Estoque!$B:$B,""),""))</f>
        <v/>
      </c>
      <c r="E274" s="8"/>
      <c r="F274" s="8"/>
    </row>
    <row r="275" ht="15.75" customHeight="1">
      <c r="A275" s="9"/>
      <c r="B275" s="8"/>
      <c r="C275" s="8"/>
      <c r="D275" s="8" t="str">
        <f t="array" ref="D275">IF(C275="","",IFERROR(_xlfn.XLOOKUP(C275,Estoque!$A:$A,Estoque!$B:$B,""),""))</f>
        <v/>
      </c>
      <c r="E275" s="8"/>
      <c r="F275" s="8"/>
    </row>
    <row r="276" ht="15.75" customHeight="1">
      <c r="A276" s="9"/>
      <c r="B276" s="8"/>
      <c r="C276" s="8"/>
      <c r="D276" s="8" t="str">
        <f t="array" ref="D276">IF(C276="","",IFERROR(_xlfn.XLOOKUP(C276,Estoque!$A:$A,Estoque!$B:$B,""),""))</f>
        <v/>
      </c>
      <c r="E276" s="8"/>
      <c r="F276" s="8"/>
    </row>
    <row r="277" ht="15.75" customHeight="1">
      <c r="A277" s="9"/>
      <c r="B277" s="8"/>
      <c r="C277" s="8"/>
      <c r="D277" s="8" t="str">
        <f t="array" ref="D277">IF(C277="","",IFERROR(_xlfn.XLOOKUP(C277,Estoque!$A:$A,Estoque!$B:$B,""),""))</f>
        <v/>
      </c>
      <c r="E277" s="8"/>
      <c r="F277" s="8"/>
    </row>
    <row r="278" ht="15.75" customHeight="1">
      <c r="A278" s="9"/>
      <c r="B278" s="8"/>
      <c r="C278" s="8"/>
      <c r="D278" s="8" t="str">
        <f t="array" ref="D278">IF(C278="","",IFERROR(_xlfn.XLOOKUP(C278,Estoque!$A:$A,Estoque!$B:$B,""),""))</f>
        <v/>
      </c>
      <c r="E278" s="8"/>
      <c r="F278" s="8"/>
    </row>
    <row r="279" ht="15.75" customHeight="1">
      <c r="A279" s="9"/>
      <c r="B279" s="8"/>
      <c r="C279" s="8"/>
      <c r="D279" s="8" t="str">
        <f t="array" ref="D279">IF(C279="","",IFERROR(_xlfn.XLOOKUP(C279,Estoque!$A:$A,Estoque!$B:$B,""),""))</f>
        <v/>
      </c>
      <c r="E279" s="8"/>
      <c r="F279" s="8"/>
    </row>
    <row r="280" ht="15.75" customHeight="1">
      <c r="A280" s="9"/>
      <c r="B280" s="8"/>
      <c r="C280" s="8"/>
      <c r="D280" s="8" t="str">
        <f t="array" ref="D280">IF(C280="","",IFERROR(_xlfn.XLOOKUP(C280,Estoque!$A:$A,Estoque!$B:$B,""),""))</f>
        <v/>
      </c>
      <c r="E280" s="8"/>
      <c r="F280" s="8"/>
    </row>
    <row r="281" ht="15.75" customHeight="1">
      <c r="A281" s="9"/>
      <c r="B281" s="8"/>
      <c r="C281" s="8"/>
      <c r="D281" s="8" t="str">
        <f t="array" ref="D281">IF(C281="","",IFERROR(_xlfn.XLOOKUP(C281,Estoque!$A:$A,Estoque!$B:$B,""),""))</f>
        <v/>
      </c>
      <c r="E281" s="8"/>
      <c r="F281" s="8"/>
    </row>
    <row r="282" ht="15.75" customHeight="1">
      <c r="A282" s="9"/>
      <c r="B282" s="8"/>
      <c r="C282" s="8"/>
      <c r="D282" s="8" t="str">
        <f t="array" ref="D282">IF(C282="","",IFERROR(_xlfn.XLOOKUP(C282,Estoque!$A:$A,Estoque!$B:$B,""),""))</f>
        <v/>
      </c>
      <c r="E282" s="8"/>
      <c r="F282" s="8"/>
    </row>
    <row r="283" ht="15.75" customHeight="1">
      <c r="A283" s="9"/>
      <c r="B283" s="8"/>
      <c r="C283" s="8"/>
      <c r="D283" s="8" t="str">
        <f t="array" ref="D283">IF(C283="","",IFERROR(_xlfn.XLOOKUP(C283,Estoque!$A:$A,Estoque!$B:$B,""),""))</f>
        <v/>
      </c>
      <c r="E283" s="8"/>
      <c r="F283" s="8"/>
    </row>
    <row r="284" ht="15.75" customHeight="1">
      <c r="A284" s="9"/>
      <c r="B284" s="8"/>
      <c r="C284" s="8"/>
      <c r="D284" s="8" t="str">
        <f t="array" ref="D284">IF(C284="","",IFERROR(_xlfn.XLOOKUP(C284,Estoque!$A:$A,Estoque!$B:$B,""),""))</f>
        <v/>
      </c>
      <c r="E284" s="8"/>
      <c r="F284" s="8"/>
    </row>
    <row r="285" ht="15.75" customHeight="1">
      <c r="A285" s="9"/>
      <c r="B285" s="8"/>
      <c r="C285" s="8"/>
      <c r="D285" s="8" t="str">
        <f t="array" ref="D285">IF(C285="","",IFERROR(_xlfn.XLOOKUP(C285,Estoque!$A:$A,Estoque!$B:$B,""),""))</f>
        <v/>
      </c>
      <c r="E285" s="8"/>
      <c r="F285" s="8"/>
    </row>
    <row r="286" ht="15.75" customHeight="1">
      <c r="A286" s="9"/>
      <c r="B286" s="8"/>
      <c r="C286" s="8"/>
      <c r="D286" s="8" t="str">
        <f t="array" ref="D286">IF(C286="","",IFERROR(_xlfn.XLOOKUP(C286,Estoque!$A:$A,Estoque!$B:$B,""),""))</f>
        <v/>
      </c>
      <c r="E286" s="8"/>
      <c r="F286" s="8"/>
    </row>
    <row r="287" ht="15.75" customHeight="1">
      <c r="A287" s="9"/>
      <c r="B287" s="8"/>
      <c r="C287" s="8"/>
      <c r="D287" s="8" t="str">
        <f t="array" ref="D287">IF(C287="","",IFERROR(_xlfn.XLOOKUP(C287,Estoque!$A:$A,Estoque!$B:$B,""),""))</f>
        <v/>
      </c>
      <c r="E287" s="8"/>
      <c r="F287" s="8"/>
    </row>
    <row r="288" ht="15.75" customHeight="1">
      <c r="A288" s="9"/>
      <c r="B288" s="8"/>
      <c r="C288" s="8"/>
      <c r="D288" s="8" t="str">
        <f t="array" ref="D288">IF(C288="","",IFERROR(_xlfn.XLOOKUP(C288,Estoque!$A:$A,Estoque!$B:$B,""),""))</f>
        <v/>
      </c>
      <c r="E288" s="8"/>
      <c r="F288" s="8"/>
    </row>
    <row r="289" ht="15.75" customHeight="1">
      <c r="A289" s="9"/>
      <c r="B289" s="8"/>
      <c r="C289" s="8"/>
      <c r="D289" s="8" t="str">
        <f t="array" ref="D289">IF(C289="","",IFERROR(_xlfn.XLOOKUP(C289,Estoque!$A:$A,Estoque!$B:$B,""),""))</f>
        <v/>
      </c>
      <c r="E289" s="8"/>
      <c r="F289" s="8"/>
    </row>
    <row r="290" ht="15.75" customHeight="1">
      <c r="A290" s="9"/>
      <c r="B290" s="8"/>
      <c r="C290" s="8"/>
      <c r="D290" s="8" t="str">
        <f t="array" ref="D290">IF(C290="","",IFERROR(_xlfn.XLOOKUP(C290,Estoque!$A:$A,Estoque!$B:$B,""),""))</f>
        <v/>
      </c>
      <c r="E290" s="8"/>
      <c r="F290" s="8"/>
    </row>
    <row r="291" ht="15.75" customHeight="1">
      <c r="A291" s="9"/>
      <c r="B291" s="8"/>
      <c r="C291" s="8"/>
      <c r="D291" s="8" t="str">
        <f t="array" ref="D291">IF(C291="","",IFERROR(_xlfn.XLOOKUP(C291,Estoque!$A:$A,Estoque!$B:$B,""),""))</f>
        <v/>
      </c>
      <c r="E291" s="8"/>
      <c r="F291" s="8"/>
    </row>
    <row r="292" ht="15.75" customHeight="1">
      <c r="A292" s="9"/>
      <c r="B292" s="8"/>
      <c r="C292" s="8"/>
      <c r="D292" s="8" t="str">
        <f t="array" ref="D292">IF(C292="","",IFERROR(_xlfn.XLOOKUP(C292,Estoque!$A:$A,Estoque!$B:$B,""),""))</f>
        <v/>
      </c>
      <c r="E292" s="8"/>
      <c r="F292" s="8"/>
    </row>
    <row r="293" ht="15.75" customHeight="1">
      <c r="A293" s="9"/>
      <c r="B293" s="8"/>
      <c r="C293" s="8"/>
      <c r="D293" s="8" t="str">
        <f t="array" ref="D293">IF(C293="","",IFERROR(_xlfn.XLOOKUP(C293,Estoque!$A:$A,Estoque!$B:$B,""),""))</f>
        <v/>
      </c>
      <c r="E293" s="8"/>
      <c r="F293" s="8"/>
    </row>
    <row r="294" ht="15.75" customHeight="1">
      <c r="A294" s="9"/>
      <c r="B294" s="8"/>
      <c r="C294" s="8"/>
      <c r="D294" s="8" t="str">
        <f t="array" ref="D294">IF(C294="","",IFERROR(_xlfn.XLOOKUP(C294,Estoque!$A:$A,Estoque!$B:$B,""),""))</f>
        <v/>
      </c>
      <c r="E294" s="8"/>
      <c r="F294" s="8"/>
    </row>
    <row r="295" ht="15.75" customHeight="1">
      <c r="A295" s="9"/>
      <c r="B295" s="8"/>
      <c r="C295" s="8"/>
      <c r="D295" s="8" t="str">
        <f t="array" ref="D295">IF(C295="","",IFERROR(_xlfn.XLOOKUP(C295,Estoque!$A:$A,Estoque!$B:$B,""),""))</f>
        <v/>
      </c>
      <c r="E295" s="8"/>
      <c r="F295" s="8"/>
    </row>
    <row r="296" ht="15.75" customHeight="1">
      <c r="A296" s="9"/>
      <c r="B296" s="8"/>
      <c r="C296" s="8"/>
      <c r="D296" s="8" t="str">
        <f t="array" ref="D296">IF(C296="","",IFERROR(_xlfn.XLOOKUP(C296,Estoque!$A:$A,Estoque!$B:$B,""),""))</f>
        <v/>
      </c>
      <c r="E296" s="8"/>
      <c r="F296" s="8"/>
    </row>
    <row r="297" ht="15.75" customHeight="1">
      <c r="A297" s="9"/>
      <c r="B297" s="8"/>
      <c r="C297" s="8"/>
      <c r="D297" s="8" t="str">
        <f t="array" ref="D297">IF(C297="","",IFERROR(_xlfn.XLOOKUP(C297,Estoque!$A:$A,Estoque!$B:$B,""),""))</f>
        <v/>
      </c>
      <c r="E297" s="8"/>
      <c r="F297" s="8"/>
    </row>
    <row r="298" ht="15.75" customHeight="1">
      <c r="A298" s="9"/>
      <c r="B298" s="8"/>
      <c r="C298" s="8"/>
      <c r="D298" s="8" t="str">
        <f t="array" ref="D298">IF(C298="","",IFERROR(_xlfn.XLOOKUP(C298,Estoque!$A:$A,Estoque!$B:$B,""),""))</f>
        <v/>
      </c>
      <c r="E298" s="8"/>
      <c r="F298" s="8"/>
    </row>
    <row r="299" ht="15.75" customHeight="1">
      <c r="A299" s="9"/>
      <c r="B299" s="8"/>
      <c r="C299" s="8"/>
      <c r="D299" s="8" t="str">
        <f t="array" ref="D299">IF(C299="","",IFERROR(_xlfn.XLOOKUP(C299,Estoque!$A:$A,Estoque!$B:$B,""),""))</f>
        <v/>
      </c>
      <c r="E299" s="8"/>
      <c r="F299" s="8"/>
    </row>
    <row r="300" ht="15.75" customHeight="1">
      <c r="A300" s="9"/>
      <c r="B300" s="8"/>
      <c r="C300" s="8"/>
      <c r="D300" s="8" t="str">
        <f t="array" ref="D300">IF(C300="","",IFERROR(_xlfn.XLOOKUP(C300,Estoque!$A:$A,Estoque!$B:$B,""),""))</f>
        <v/>
      </c>
      <c r="E300" s="8"/>
      <c r="F300" s="8"/>
    </row>
    <row r="301" ht="15.75" customHeight="1">
      <c r="A301" s="9"/>
      <c r="B301" s="8"/>
      <c r="C301" s="8"/>
      <c r="D301" s="8" t="str">
        <f t="array" ref="D301">IF(C301="","",IFERROR(_xlfn.XLOOKUP(C301,Estoque!$A:$A,Estoque!$B:$B,""),""))</f>
        <v/>
      </c>
      <c r="E301" s="8"/>
      <c r="F301" s="8"/>
    </row>
    <row r="302" ht="15.75" customHeight="1">
      <c r="A302" s="9"/>
      <c r="B302" s="8"/>
      <c r="C302" s="8"/>
      <c r="D302" s="8" t="str">
        <f t="array" ref="D302">IF(C302="","",IFERROR(_xlfn.XLOOKUP(C302,Estoque!$A:$A,Estoque!$B:$B,""),""))</f>
        <v/>
      </c>
      <c r="E302" s="8"/>
      <c r="F302" s="8"/>
    </row>
    <row r="303" ht="15.75" customHeight="1">
      <c r="A303" s="9"/>
      <c r="B303" s="8"/>
      <c r="C303" s="8"/>
      <c r="D303" s="8" t="str">
        <f t="array" ref="D303">IF(C303="","",IFERROR(_xlfn.XLOOKUP(C303,Estoque!$A:$A,Estoque!$B:$B,""),""))</f>
        <v/>
      </c>
      <c r="E303" s="8"/>
      <c r="F303" s="8"/>
    </row>
    <row r="304" ht="15.75" customHeight="1">
      <c r="A304" s="9"/>
      <c r="B304" s="8"/>
      <c r="C304" s="8"/>
      <c r="D304" s="8" t="str">
        <f t="array" ref="D304">IF(C304="","",IFERROR(_xlfn.XLOOKUP(C304,Estoque!$A:$A,Estoque!$B:$B,""),""))</f>
        <v/>
      </c>
      <c r="E304" s="8"/>
      <c r="F304" s="8"/>
    </row>
    <row r="305" ht="15.75" customHeight="1">
      <c r="A305" s="9"/>
      <c r="B305" s="8"/>
      <c r="C305" s="8"/>
      <c r="D305" s="8" t="str">
        <f t="array" ref="D305">IF(C305="","",IFERROR(_xlfn.XLOOKUP(C305,Estoque!$A:$A,Estoque!$B:$B,""),""))</f>
        <v/>
      </c>
      <c r="E305" s="8"/>
      <c r="F305" s="8"/>
    </row>
    <row r="306" ht="15.75" customHeight="1">
      <c r="A306" s="9"/>
      <c r="B306" s="8"/>
      <c r="C306" s="8"/>
      <c r="D306" s="8" t="str">
        <f t="array" ref="D306">IF(C306="","",IFERROR(_xlfn.XLOOKUP(C306,Estoque!$A:$A,Estoque!$B:$B,""),""))</f>
        <v/>
      </c>
      <c r="E306" s="8"/>
      <c r="F306" s="8"/>
    </row>
    <row r="307" ht="15.75" customHeight="1">
      <c r="A307" s="9"/>
      <c r="B307" s="8"/>
      <c r="C307" s="8"/>
      <c r="D307" s="8" t="str">
        <f t="array" ref="D307">IF(C307="","",IFERROR(_xlfn.XLOOKUP(C307,Estoque!$A:$A,Estoque!$B:$B,""),""))</f>
        <v/>
      </c>
      <c r="E307" s="8"/>
      <c r="F307" s="8"/>
    </row>
    <row r="308" ht="15.75" customHeight="1">
      <c r="A308" s="9"/>
      <c r="B308" s="8"/>
      <c r="C308" s="8"/>
      <c r="D308" s="8" t="str">
        <f t="array" ref="D308">IF(C308="","",IFERROR(_xlfn.XLOOKUP(C308,Estoque!$A:$A,Estoque!$B:$B,""),""))</f>
        <v/>
      </c>
      <c r="E308" s="8"/>
      <c r="F308" s="8"/>
    </row>
    <row r="309" ht="15.75" customHeight="1">
      <c r="A309" s="9"/>
      <c r="B309" s="8"/>
      <c r="C309" s="8"/>
      <c r="D309" s="8" t="str">
        <f t="array" ref="D309">IF(C309="","",IFERROR(_xlfn.XLOOKUP(C309,Estoque!$A:$A,Estoque!$B:$B,""),""))</f>
        <v/>
      </c>
      <c r="E309" s="8"/>
      <c r="F309" s="8"/>
    </row>
    <row r="310" ht="15.75" customHeight="1">
      <c r="A310" s="9"/>
      <c r="B310" s="8"/>
      <c r="C310" s="8"/>
      <c r="D310" s="8" t="str">
        <f t="array" ref="D310">IF(C310="","",IFERROR(_xlfn.XLOOKUP(C310,Estoque!$A:$A,Estoque!$B:$B,""),""))</f>
        <v/>
      </c>
      <c r="E310" s="8"/>
      <c r="F310" s="8"/>
    </row>
    <row r="311" ht="15.75" customHeight="1">
      <c r="A311" s="9"/>
      <c r="B311" s="8"/>
      <c r="C311" s="8"/>
      <c r="D311" s="8" t="str">
        <f t="array" ref="D311">IF(C311="","",IFERROR(_xlfn.XLOOKUP(C311,Estoque!$A:$A,Estoque!$B:$B,""),""))</f>
        <v/>
      </c>
      <c r="E311" s="8"/>
      <c r="F311" s="8"/>
    </row>
    <row r="312" ht="15.75" customHeight="1">
      <c r="A312" s="9"/>
      <c r="B312" s="8"/>
      <c r="C312" s="8"/>
      <c r="D312" s="8" t="str">
        <f t="array" ref="D312">IF(C312="","",IFERROR(_xlfn.XLOOKUP(C312,Estoque!$A:$A,Estoque!$B:$B,""),""))</f>
        <v/>
      </c>
      <c r="E312" s="8"/>
      <c r="F312" s="8"/>
    </row>
    <row r="313" ht="15.75" customHeight="1">
      <c r="A313" s="9"/>
      <c r="B313" s="8"/>
      <c r="C313" s="8"/>
      <c r="D313" s="8" t="str">
        <f t="array" ref="D313">IF(C313="","",IFERROR(_xlfn.XLOOKUP(C313,Estoque!$A:$A,Estoque!$B:$B,""),""))</f>
        <v/>
      </c>
      <c r="E313" s="8"/>
      <c r="F313" s="8"/>
    </row>
    <row r="314" ht="15.75" customHeight="1">
      <c r="A314" s="9"/>
      <c r="B314" s="8"/>
      <c r="C314" s="8"/>
      <c r="D314" s="8" t="str">
        <f t="array" ref="D314">IF(C314="","",IFERROR(_xlfn.XLOOKUP(C314,Estoque!$A:$A,Estoque!$B:$B,""),""))</f>
        <v/>
      </c>
      <c r="E314" s="8"/>
      <c r="F314" s="8"/>
    </row>
    <row r="315" ht="15.75" customHeight="1">
      <c r="A315" s="9"/>
      <c r="B315" s="8"/>
      <c r="C315" s="8"/>
      <c r="D315" s="8" t="str">
        <f t="array" ref="D315">IF(C315="","",IFERROR(_xlfn.XLOOKUP(C315,Estoque!$A:$A,Estoque!$B:$B,""),""))</f>
        <v/>
      </c>
      <c r="E315" s="8"/>
      <c r="F315" s="8"/>
    </row>
    <row r="316" ht="15.75" customHeight="1">
      <c r="A316" s="9"/>
      <c r="B316" s="8"/>
      <c r="C316" s="8"/>
      <c r="D316" s="8" t="str">
        <f t="array" ref="D316">IF(C316="","",IFERROR(_xlfn.XLOOKUP(C316,Estoque!$A:$A,Estoque!$B:$B,""),""))</f>
        <v/>
      </c>
      <c r="E316" s="8"/>
      <c r="F316" s="8"/>
    </row>
    <row r="317" ht="15.75" customHeight="1">
      <c r="A317" s="9"/>
      <c r="B317" s="8"/>
      <c r="C317" s="8"/>
      <c r="D317" s="8" t="str">
        <f t="array" ref="D317">IF(C317="","",IFERROR(_xlfn.XLOOKUP(C317,Estoque!$A:$A,Estoque!$B:$B,""),""))</f>
        <v/>
      </c>
      <c r="E317" s="8"/>
      <c r="F317" s="8"/>
    </row>
    <row r="318" ht="15.75" customHeight="1">
      <c r="A318" s="9"/>
      <c r="B318" s="8"/>
      <c r="C318" s="8"/>
      <c r="D318" s="8" t="str">
        <f t="array" ref="D318">IF(C318="","",IFERROR(_xlfn.XLOOKUP(C318,Estoque!$A:$A,Estoque!$B:$B,""),""))</f>
        <v/>
      </c>
      <c r="E318" s="8"/>
      <c r="F318" s="8"/>
    </row>
    <row r="319" ht="15.75" customHeight="1">
      <c r="A319" s="9"/>
      <c r="B319" s="8"/>
      <c r="C319" s="8"/>
      <c r="D319" s="8" t="str">
        <f t="array" ref="D319">IF(C319="","",IFERROR(_xlfn.XLOOKUP(C319,Estoque!$A:$A,Estoque!$B:$B,""),""))</f>
        <v/>
      </c>
      <c r="E319" s="8"/>
      <c r="F319" s="8"/>
    </row>
    <row r="320" ht="15.75" customHeight="1">
      <c r="A320" s="9"/>
      <c r="B320" s="8"/>
      <c r="C320" s="8"/>
      <c r="D320" s="8" t="str">
        <f t="array" ref="D320">IF(C320="","",IFERROR(_xlfn.XLOOKUP(C320,Estoque!$A:$A,Estoque!$B:$B,""),""))</f>
        <v/>
      </c>
      <c r="E320" s="8"/>
      <c r="F320" s="8"/>
    </row>
    <row r="321" ht="15.75" customHeight="1">
      <c r="A321" s="9"/>
      <c r="B321" s="8"/>
      <c r="C321" s="8"/>
      <c r="D321" s="8" t="str">
        <f t="array" ref="D321">IF(C321="","",IFERROR(_xlfn.XLOOKUP(C321,Estoque!$A:$A,Estoque!$B:$B,""),""))</f>
        <v/>
      </c>
      <c r="E321" s="8"/>
      <c r="F321" s="8"/>
    </row>
    <row r="322" ht="15.75" customHeight="1">
      <c r="A322" s="9"/>
      <c r="B322" s="8"/>
      <c r="C322" s="8"/>
      <c r="D322" s="8" t="str">
        <f t="array" ref="D322">IF(C322="","",IFERROR(_xlfn.XLOOKUP(C322,Estoque!$A:$A,Estoque!$B:$B,""),""))</f>
        <v/>
      </c>
      <c r="E322" s="8"/>
      <c r="F322" s="8"/>
    </row>
    <row r="323" ht="15.75" customHeight="1">
      <c r="A323" s="9"/>
      <c r="B323" s="8"/>
      <c r="C323" s="8"/>
      <c r="D323" s="8" t="str">
        <f t="array" ref="D323">IF(C323="","",IFERROR(_xlfn.XLOOKUP(C323,Estoque!$A:$A,Estoque!$B:$B,""),""))</f>
        <v/>
      </c>
      <c r="E323" s="8"/>
      <c r="F323" s="8"/>
    </row>
    <row r="324" ht="15.75" customHeight="1">
      <c r="A324" s="9"/>
      <c r="B324" s="8"/>
      <c r="C324" s="8"/>
      <c r="D324" s="8" t="str">
        <f t="array" ref="D324">IF(C324="","",IFERROR(_xlfn.XLOOKUP(C324,Estoque!$A:$A,Estoque!$B:$B,""),""))</f>
        <v/>
      </c>
      <c r="E324" s="8"/>
      <c r="F324" s="8"/>
    </row>
    <row r="325" ht="15.75" customHeight="1">
      <c r="A325" s="9"/>
      <c r="B325" s="8"/>
      <c r="C325" s="8"/>
      <c r="D325" s="8" t="str">
        <f t="array" ref="D325">IF(C325="","",IFERROR(_xlfn.XLOOKUP(C325,Estoque!$A:$A,Estoque!$B:$B,""),""))</f>
        <v/>
      </c>
      <c r="E325" s="8"/>
      <c r="F325" s="8"/>
    </row>
    <row r="326" ht="15.75" customHeight="1">
      <c r="A326" s="9"/>
      <c r="B326" s="8"/>
      <c r="C326" s="8"/>
      <c r="D326" s="8" t="str">
        <f t="array" ref="D326">IF(C326="","",IFERROR(_xlfn.XLOOKUP(C326,Estoque!$A:$A,Estoque!$B:$B,""),""))</f>
        <v/>
      </c>
      <c r="E326" s="8"/>
      <c r="F326" s="8"/>
    </row>
    <row r="327" ht="15.75" customHeight="1">
      <c r="A327" s="9"/>
      <c r="B327" s="8"/>
      <c r="C327" s="8"/>
      <c r="D327" s="8" t="str">
        <f t="array" ref="D327">IF(C327="","",IFERROR(_xlfn.XLOOKUP(C327,Estoque!$A:$A,Estoque!$B:$B,""),""))</f>
        <v/>
      </c>
      <c r="E327" s="8"/>
      <c r="F327" s="8"/>
    </row>
    <row r="328" ht="15.75" customHeight="1">
      <c r="A328" s="9"/>
      <c r="B328" s="8"/>
      <c r="C328" s="8"/>
      <c r="D328" s="8" t="str">
        <f t="array" ref="D328">IF(C328="","",IFERROR(_xlfn.XLOOKUP(C328,Estoque!$A:$A,Estoque!$B:$B,""),""))</f>
        <v/>
      </c>
      <c r="E328" s="8"/>
      <c r="F328" s="8"/>
    </row>
    <row r="329" ht="15.75" customHeight="1">
      <c r="A329" s="9"/>
      <c r="B329" s="8"/>
      <c r="C329" s="8"/>
      <c r="D329" s="8" t="str">
        <f t="array" ref="D329">IF(C329="","",IFERROR(_xlfn.XLOOKUP(C329,Estoque!$A:$A,Estoque!$B:$B,""),""))</f>
        <v/>
      </c>
      <c r="E329" s="8"/>
      <c r="F329" s="8"/>
    </row>
    <row r="330" ht="15.75" customHeight="1">
      <c r="A330" s="9"/>
      <c r="B330" s="8"/>
      <c r="C330" s="8"/>
      <c r="D330" s="8" t="str">
        <f t="array" ref="D330">IF(C330="","",IFERROR(_xlfn.XLOOKUP(C330,Estoque!$A:$A,Estoque!$B:$B,""),""))</f>
        <v/>
      </c>
      <c r="E330" s="8"/>
      <c r="F330" s="8"/>
    </row>
    <row r="331" ht="15.75" customHeight="1">
      <c r="A331" s="9"/>
      <c r="B331" s="8"/>
      <c r="C331" s="8"/>
      <c r="D331" s="8" t="str">
        <f t="array" ref="D331">IF(C331="","",IFERROR(_xlfn.XLOOKUP(C331,Estoque!$A:$A,Estoque!$B:$B,""),""))</f>
        <v/>
      </c>
      <c r="E331" s="8"/>
      <c r="F331" s="8"/>
    </row>
    <row r="332" ht="15.75" customHeight="1">
      <c r="A332" s="9"/>
      <c r="B332" s="8"/>
      <c r="C332" s="8"/>
      <c r="D332" s="8" t="str">
        <f t="array" ref="D332">IF(C332="","",IFERROR(_xlfn.XLOOKUP(C332,Estoque!$A:$A,Estoque!$B:$B,""),""))</f>
        <v/>
      </c>
      <c r="E332" s="8"/>
      <c r="F332" s="8"/>
    </row>
    <row r="333" ht="15.75" customHeight="1">
      <c r="A333" s="9"/>
      <c r="B333" s="8"/>
      <c r="C333" s="8"/>
      <c r="D333" s="8" t="str">
        <f t="array" ref="D333">IF(C333="","",IFERROR(_xlfn.XLOOKUP(C333,Estoque!$A:$A,Estoque!$B:$B,""),""))</f>
        <v/>
      </c>
      <c r="E333" s="8"/>
      <c r="F333" s="8"/>
    </row>
    <row r="334" ht="15.75" customHeight="1">
      <c r="A334" s="9"/>
      <c r="B334" s="8"/>
      <c r="C334" s="8"/>
      <c r="D334" s="8" t="str">
        <f t="array" ref="D334">IF(C334="","",IFERROR(_xlfn.XLOOKUP(C334,Estoque!$A:$A,Estoque!$B:$B,""),""))</f>
        <v/>
      </c>
      <c r="E334" s="8"/>
      <c r="F334" s="8"/>
    </row>
    <row r="335" ht="15.75" customHeight="1">
      <c r="A335" s="9"/>
      <c r="B335" s="8"/>
      <c r="C335" s="8"/>
      <c r="D335" s="8" t="str">
        <f t="array" ref="D335">IF(C335="","",IFERROR(_xlfn.XLOOKUP(C335,Estoque!$A:$A,Estoque!$B:$B,""),""))</f>
        <v/>
      </c>
      <c r="E335" s="8"/>
      <c r="F335" s="8"/>
    </row>
    <row r="336" ht="15.75" customHeight="1">
      <c r="A336" s="9"/>
      <c r="B336" s="8"/>
      <c r="C336" s="8"/>
      <c r="D336" s="8" t="str">
        <f t="array" ref="D336">IF(C336="","",IFERROR(_xlfn.XLOOKUP(C336,Estoque!$A:$A,Estoque!$B:$B,""),""))</f>
        <v/>
      </c>
      <c r="E336" s="8"/>
      <c r="F336" s="8"/>
    </row>
    <row r="337" ht="15.75" customHeight="1">
      <c r="A337" s="9"/>
      <c r="B337" s="8"/>
      <c r="C337" s="8"/>
      <c r="D337" s="8" t="str">
        <f t="array" ref="D337">IF(C337="","",IFERROR(_xlfn.XLOOKUP(C337,Estoque!$A:$A,Estoque!$B:$B,""),""))</f>
        <v/>
      </c>
      <c r="E337" s="8"/>
      <c r="F337" s="8"/>
    </row>
    <row r="338" ht="15.75" customHeight="1">
      <c r="A338" s="9"/>
      <c r="B338" s="8"/>
      <c r="C338" s="8"/>
      <c r="D338" s="8" t="str">
        <f t="array" ref="D338">IF(C338="","",IFERROR(_xlfn.XLOOKUP(C338,Estoque!$A:$A,Estoque!$B:$B,""),""))</f>
        <v/>
      </c>
      <c r="E338" s="8"/>
      <c r="F338" s="8"/>
    </row>
    <row r="339" ht="15.75" customHeight="1">
      <c r="A339" s="9"/>
      <c r="B339" s="8"/>
      <c r="C339" s="8"/>
      <c r="D339" s="8" t="str">
        <f t="array" ref="D339">IF(C339="","",IFERROR(_xlfn.XLOOKUP(C339,Estoque!$A:$A,Estoque!$B:$B,""),""))</f>
        <v/>
      </c>
      <c r="E339" s="8"/>
      <c r="F339" s="8"/>
    </row>
    <row r="340" ht="15.75" customHeight="1">
      <c r="A340" s="9"/>
      <c r="B340" s="8"/>
      <c r="C340" s="8"/>
      <c r="D340" s="8" t="str">
        <f t="array" ref="D340">IF(C340="","",IFERROR(_xlfn.XLOOKUP(C340,Estoque!$A:$A,Estoque!$B:$B,""),""))</f>
        <v/>
      </c>
      <c r="E340" s="8"/>
      <c r="F340" s="8"/>
    </row>
    <row r="341" ht="15.75" customHeight="1">
      <c r="A341" s="9"/>
      <c r="B341" s="8"/>
      <c r="C341" s="8"/>
      <c r="D341" s="8" t="str">
        <f t="array" ref="D341">IF(C341="","",IFERROR(_xlfn.XLOOKUP(C341,Estoque!$A:$A,Estoque!$B:$B,""),""))</f>
        <v/>
      </c>
      <c r="E341" s="8"/>
      <c r="F341" s="8"/>
    </row>
    <row r="342" ht="15.75" customHeight="1">
      <c r="A342" s="9"/>
      <c r="B342" s="8"/>
      <c r="C342" s="8"/>
      <c r="D342" s="8" t="str">
        <f t="array" ref="D342">IF(C342="","",IFERROR(_xlfn.XLOOKUP(C342,Estoque!$A:$A,Estoque!$B:$B,""),""))</f>
        <v/>
      </c>
      <c r="E342" s="8"/>
      <c r="F342" s="8"/>
    </row>
    <row r="343" ht="15.75" customHeight="1">
      <c r="A343" s="9"/>
      <c r="B343" s="8"/>
      <c r="C343" s="8"/>
      <c r="D343" s="8" t="str">
        <f t="array" ref="D343">IF(C343="","",IFERROR(_xlfn.XLOOKUP(C343,Estoque!$A:$A,Estoque!$B:$B,""),""))</f>
        <v/>
      </c>
      <c r="E343" s="8"/>
      <c r="F343" s="8"/>
    </row>
    <row r="344" ht="15.75" customHeight="1">
      <c r="A344" s="9"/>
      <c r="B344" s="8"/>
      <c r="C344" s="8"/>
      <c r="D344" s="8" t="str">
        <f t="array" ref="D344">IF(C344="","",IFERROR(_xlfn.XLOOKUP(C344,Estoque!$A:$A,Estoque!$B:$B,""),""))</f>
        <v/>
      </c>
      <c r="E344" s="8"/>
      <c r="F344" s="8"/>
    </row>
    <row r="345" ht="15.75" customHeight="1">
      <c r="A345" s="9"/>
      <c r="B345" s="8"/>
      <c r="C345" s="8"/>
      <c r="D345" s="8" t="str">
        <f t="array" ref="D345">IF(C345="","",IFERROR(_xlfn.XLOOKUP(C345,Estoque!$A:$A,Estoque!$B:$B,""),""))</f>
        <v/>
      </c>
      <c r="E345" s="8"/>
      <c r="F345" s="8"/>
    </row>
    <row r="346" ht="15.75" customHeight="1">
      <c r="A346" s="9"/>
      <c r="B346" s="8"/>
      <c r="C346" s="8"/>
      <c r="D346" s="8" t="str">
        <f t="array" ref="D346">IF(C346="","",IFERROR(_xlfn.XLOOKUP(C346,Estoque!$A:$A,Estoque!$B:$B,""),""))</f>
        <v/>
      </c>
      <c r="E346" s="8"/>
      <c r="F346" s="8"/>
    </row>
    <row r="347" ht="15.75" customHeight="1">
      <c r="A347" s="9"/>
      <c r="B347" s="8"/>
      <c r="C347" s="8"/>
      <c r="D347" s="8" t="str">
        <f t="array" ref="D347">IF(C347="","",IFERROR(_xlfn.XLOOKUP(C347,Estoque!$A:$A,Estoque!$B:$B,""),""))</f>
        <v/>
      </c>
      <c r="E347" s="8"/>
      <c r="F347" s="8"/>
    </row>
    <row r="348" ht="15.75" customHeight="1">
      <c r="A348" s="9"/>
      <c r="B348" s="8"/>
      <c r="C348" s="8"/>
      <c r="D348" s="8" t="str">
        <f t="array" ref="D348">IF(C348="","",IFERROR(_xlfn.XLOOKUP(C348,Estoque!$A:$A,Estoque!$B:$B,""),""))</f>
        <v/>
      </c>
      <c r="E348" s="8"/>
      <c r="F348" s="8"/>
    </row>
    <row r="349" ht="15.75" customHeight="1">
      <c r="A349" s="9"/>
      <c r="B349" s="8"/>
      <c r="C349" s="8"/>
      <c r="D349" s="8" t="str">
        <f t="array" ref="D349">IF(C349="","",IFERROR(_xlfn.XLOOKUP(C349,Estoque!$A:$A,Estoque!$B:$B,""),""))</f>
        <v/>
      </c>
      <c r="E349" s="8"/>
      <c r="F349" s="8"/>
    </row>
    <row r="350" ht="15.75" customHeight="1">
      <c r="A350" s="9"/>
      <c r="B350" s="8"/>
      <c r="C350" s="8"/>
      <c r="D350" s="8" t="str">
        <f t="array" ref="D350">IF(C350="","",IFERROR(_xlfn.XLOOKUP(C350,Estoque!$A:$A,Estoque!$B:$B,""),""))</f>
        <v/>
      </c>
      <c r="E350" s="8"/>
      <c r="F350" s="8"/>
    </row>
    <row r="351" ht="15.75" customHeight="1">
      <c r="A351" s="9"/>
      <c r="B351" s="8"/>
      <c r="C351" s="8"/>
      <c r="D351" s="8" t="str">
        <f t="array" ref="D351">IF(C351="","",IFERROR(_xlfn.XLOOKUP(C351,Estoque!$A:$A,Estoque!$B:$B,""),""))</f>
        <v/>
      </c>
      <c r="E351" s="8"/>
      <c r="F351" s="8"/>
    </row>
    <row r="352" ht="15.75" customHeight="1">
      <c r="A352" s="9"/>
      <c r="B352" s="8"/>
      <c r="C352" s="8"/>
      <c r="D352" s="8" t="str">
        <f t="array" ref="D352">IF(C352="","",IFERROR(_xlfn.XLOOKUP(C352,Estoque!$A:$A,Estoque!$B:$B,""),""))</f>
        <v/>
      </c>
      <c r="E352" s="8"/>
      <c r="F352" s="8"/>
    </row>
    <row r="353" ht="15.75" customHeight="1">
      <c r="A353" s="9"/>
      <c r="B353" s="8"/>
      <c r="C353" s="8"/>
      <c r="D353" s="8" t="str">
        <f t="array" ref="D353">IF(C353="","",IFERROR(_xlfn.XLOOKUP(C353,Estoque!$A:$A,Estoque!$B:$B,""),""))</f>
        <v/>
      </c>
      <c r="E353" s="8"/>
      <c r="F353" s="8"/>
    </row>
    <row r="354" ht="15.75" customHeight="1">
      <c r="A354" s="9"/>
      <c r="B354" s="8"/>
      <c r="C354" s="8"/>
      <c r="D354" s="8" t="str">
        <f t="array" ref="D354">IF(C354="","",IFERROR(_xlfn.XLOOKUP(C354,Estoque!$A:$A,Estoque!$B:$B,""),""))</f>
        <v/>
      </c>
      <c r="E354" s="8"/>
      <c r="F354" s="8"/>
    </row>
    <row r="355" ht="15.75" customHeight="1">
      <c r="A355" s="9"/>
      <c r="B355" s="8"/>
      <c r="C355" s="8"/>
      <c r="D355" s="8" t="str">
        <f t="array" ref="D355">IF(C355="","",IFERROR(_xlfn.XLOOKUP(C355,Estoque!$A:$A,Estoque!$B:$B,""),""))</f>
        <v/>
      </c>
      <c r="E355" s="8"/>
      <c r="F355" s="8"/>
    </row>
    <row r="356" ht="15.75" customHeight="1">
      <c r="A356" s="9"/>
      <c r="B356" s="8"/>
      <c r="C356" s="8"/>
      <c r="D356" s="8" t="str">
        <f t="array" ref="D356">IF(C356="","",IFERROR(_xlfn.XLOOKUP(C356,Estoque!$A:$A,Estoque!$B:$B,""),""))</f>
        <v/>
      </c>
      <c r="E356" s="8"/>
      <c r="F356" s="8"/>
    </row>
    <row r="357" ht="15.75" customHeight="1">
      <c r="A357" s="9"/>
      <c r="B357" s="8"/>
      <c r="C357" s="8"/>
      <c r="D357" s="8" t="str">
        <f t="array" ref="D357">IF(C357="","",IFERROR(_xlfn.XLOOKUP(C357,Estoque!$A:$A,Estoque!$B:$B,""),""))</f>
        <v/>
      </c>
      <c r="E357" s="8"/>
      <c r="F357" s="8"/>
    </row>
    <row r="358" ht="15.75" customHeight="1">
      <c r="A358" s="9"/>
      <c r="B358" s="8"/>
      <c r="C358" s="8"/>
      <c r="D358" s="8" t="str">
        <f t="array" ref="D358">IF(C358="","",IFERROR(_xlfn.XLOOKUP(C358,Estoque!$A:$A,Estoque!$B:$B,""),""))</f>
        <v/>
      </c>
      <c r="E358" s="8"/>
      <c r="F358" s="8"/>
    </row>
    <row r="359" ht="15.75" customHeight="1">
      <c r="A359" s="9"/>
      <c r="B359" s="8"/>
      <c r="C359" s="8"/>
      <c r="D359" s="8" t="str">
        <f t="array" ref="D359">IF(C359="","",IFERROR(_xlfn.XLOOKUP(C359,Estoque!$A:$A,Estoque!$B:$B,""),""))</f>
        <v/>
      </c>
      <c r="E359" s="8"/>
      <c r="F359" s="8"/>
    </row>
    <row r="360" ht="15.75" customHeight="1">
      <c r="A360" s="9"/>
      <c r="B360" s="8"/>
      <c r="C360" s="8"/>
      <c r="D360" s="8" t="str">
        <f t="array" ref="D360">IF(C360="","",IFERROR(_xlfn.XLOOKUP(C360,Estoque!$A:$A,Estoque!$B:$B,""),""))</f>
        <v/>
      </c>
      <c r="E360" s="8"/>
      <c r="F360" s="8"/>
    </row>
    <row r="361" ht="15.75" customHeight="1">
      <c r="A361" s="9"/>
      <c r="B361" s="8"/>
      <c r="C361" s="8"/>
      <c r="D361" s="8" t="str">
        <f t="array" ref="D361">IF(C361="","",IFERROR(_xlfn.XLOOKUP(C361,Estoque!$A:$A,Estoque!$B:$B,""),""))</f>
        <v/>
      </c>
      <c r="E361" s="8"/>
      <c r="F361" s="8"/>
    </row>
    <row r="362" ht="15.75" customHeight="1">
      <c r="A362" s="9"/>
      <c r="B362" s="8"/>
      <c r="C362" s="8"/>
      <c r="D362" s="8" t="str">
        <f t="array" ref="D362">IF(C362="","",IFERROR(_xlfn.XLOOKUP(C362,Estoque!$A:$A,Estoque!$B:$B,""),""))</f>
        <v/>
      </c>
      <c r="E362" s="8"/>
      <c r="F362" s="8"/>
    </row>
    <row r="363" ht="15.75" customHeight="1">
      <c r="A363" s="9"/>
      <c r="B363" s="8"/>
      <c r="C363" s="8"/>
      <c r="D363" s="8" t="str">
        <f t="array" ref="D363">IF(C363="","",IFERROR(_xlfn.XLOOKUP(C363,Estoque!$A:$A,Estoque!$B:$B,""),""))</f>
        <v/>
      </c>
      <c r="E363" s="8"/>
      <c r="F363" s="8"/>
    </row>
    <row r="364" ht="15.75" customHeight="1">
      <c r="A364" s="9"/>
      <c r="B364" s="8"/>
      <c r="C364" s="8"/>
      <c r="D364" s="8" t="str">
        <f t="array" ref="D364">IF(C364="","",IFERROR(_xlfn.XLOOKUP(C364,Estoque!$A:$A,Estoque!$B:$B,""),""))</f>
        <v/>
      </c>
      <c r="E364" s="8"/>
      <c r="F364" s="8"/>
    </row>
    <row r="365" ht="15.75" customHeight="1">
      <c r="A365" s="9"/>
      <c r="B365" s="8"/>
      <c r="C365" s="8"/>
      <c r="D365" s="8" t="str">
        <f t="array" ref="D365">IF(C365="","",IFERROR(_xlfn.XLOOKUP(C365,Estoque!$A:$A,Estoque!$B:$B,""),""))</f>
        <v/>
      </c>
      <c r="E365" s="8"/>
      <c r="F365" s="8"/>
    </row>
    <row r="366" ht="15.75" customHeight="1">
      <c r="A366" s="9"/>
      <c r="B366" s="8"/>
      <c r="C366" s="8"/>
      <c r="D366" s="8" t="str">
        <f t="array" ref="D366">IF(C366="","",IFERROR(_xlfn.XLOOKUP(C366,Estoque!$A:$A,Estoque!$B:$B,""),""))</f>
        <v/>
      </c>
      <c r="E366" s="8"/>
      <c r="F366" s="8"/>
    </row>
    <row r="367" ht="15.75" customHeight="1">
      <c r="A367" s="9"/>
      <c r="B367" s="8"/>
      <c r="C367" s="8"/>
      <c r="D367" s="8" t="str">
        <f t="array" ref="D367">IF(C367="","",IFERROR(_xlfn.XLOOKUP(C367,Estoque!$A:$A,Estoque!$B:$B,""),""))</f>
        <v/>
      </c>
      <c r="E367" s="8"/>
      <c r="F367" s="8"/>
    </row>
    <row r="368" ht="15.75" customHeight="1">
      <c r="A368" s="9"/>
      <c r="B368" s="8"/>
      <c r="C368" s="8"/>
      <c r="D368" s="8" t="str">
        <f t="array" ref="D368">IF(C368="","",IFERROR(_xlfn.XLOOKUP(C368,Estoque!$A:$A,Estoque!$B:$B,""),""))</f>
        <v/>
      </c>
      <c r="E368" s="8"/>
      <c r="F368" s="8"/>
    </row>
    <row r="369" ht="15.75" customHeight="1">
      <c r="A369" s="9"/>
      <c r="B369" s="8"/>
      <c r="C369" s="8"/>
      <c r="D369" s="8" t="str">
        <f t="array" ref="D369">IF(C369="","",IFERROR(_xlfn.XLOOKUP(C369,Estoque!$A:$A,Estoque!$B:$B,""),""))</f>
        <v/>
      </c>
      <c r="E369" s="8"/>
      <c r="F369" s="8"/>
    </row>
    <row r="370" ht="15.75" customHeight="1">
      <c r="A370" s="9"/>
      <c r="B370" s="8"/>
      <c r="C370" s="8"/>
      <c r="D370" s="8" t="str">
        <f t="array" ref="D370">IF(C370="","",IFERROR(_xlfn.XLOOKUP(C370,Estoque!$A:$A,Estoque!$B:$B,""),""))</f>
        <v/>
      </c>
      <c r="E370" s="8"/>
      <c r="F370" s="8"/>
    </row>
    <row r="371" ht="15.75" customHeight="1">
      <c r="A371" s="9"/>
      <c r="B371" s="8"/>
      <c r="C371" s="8"/>
      <c r="D371" s="8" t="str">
        <f t="array" ref="D371">IF(C371="","",IFERROR(_xlfn.XLOOKUP(C371,Estoque!$A:$A,Estoque!$B:$B,""),""))</f>
        <v/>
      </c>
      <c r="E371" s="8"/>
      <c r="F371" s="8"/>
    </row>
    <row r="372" ht="15.75" customHeight="1">
      <c r="A372" s="9"/>
      <c r="B372" s="8"/>
      <c r="C372" s="8"/>
      <c r="D372" s="8" t="str">
        <f t="array" ref="D372">IF(C372="","",IFERROR(_xlfn.XLOOKUP(C372,Estoque!$A:$A,Estoque!$B:$B,""),""))</f>
        <v/>
      </c>
      <c r="E372" s="8"/>
      <c r="F372" s="8"/>
    </row>
    <row r="373" ht="15.75" customHeight="1">
      <c r="A373" s="9"/>
      <c r="B373" s="8"/>
      <c r="C373" s="8"/>
      <c r="D373" s="8" t="str">
        <f t="array" ref="D373">IF(C373="","",IFERROR(_xlfn.XLOOKUP(C373,Estoque!$A:$A,Estoque!$B:$B,""),""))</f>
        <v/>
      </c>
      <c r="E373" s="8"/>
      <c r="F373" s="8"/>
    </row>
    <row r="374" ht="15.75" customHeight="1">
      <c r="A374" s="9"/>
      <c r="B374" s="8"/>
      <c r="C374" s="8"/>
      <c r="D374" s="8" t="str">
        <f t="array" ref="D374">IF(C374="","",IFERROR(_xlfn.XLOOKUP(C374,Estoque!$A:$A,Estoque!$B:$B,""),""))</f>
        <v/>
      </c>
      <c r="E374" s="8"/>
      <c r="F374" s="8"/>
    </row>
    <row r="375" ht="15.75" customHeight="1">
      <c r="A375" s="9"/>
      <c r="B375" s="8"/>
      <c r="C375" s="8"/>
      <c r="D375" s="8" t="str">
        <f t="array" ref="D375">IF(C375="","",IFERROR(_xlfn.XLOOKUP(C375,Estoque!$A:$A,Estoque!$B:$B,""),""))</f>
        <v/>
      </c>
      <c r="E375" s="8"/>
      <c r="F375" s="8"/>
    </row>
    <row r="376" ht="15.75" customHeight="1">
      <c r="A376" s="9"/>
      <c r="B376" s="8"/>
      <c r="C376" s="8"/>
      <c r="D376" s="8" t="str">
        <f t="array" ref="D376">IF(C376="","",IFERROR(_xlfn.XLOOKUP(C376,Estoque!$A:$A,Estoque!$B:$B,""),""))</f>
        <v/>
      </c>
      <c r="E376" s="8"/>
      <c r="F376" s="8"/>
    </row>
    <row r="377" ht="15.75" customHeight="1">
      <c r="A377" s="9"/>
      <c r="B377" s="8"/>
      <c r="C377" s="8"/>
      <c r="D377" s="8" t="str">
        <f t="array" ref="D377">IF(C377="","",IFERROR(_xlfn.XLOOKUP(C377,Estoque!$A:$A,Estoque!$B:$B,""),""))</f>
        <v/>
      </c>
      <c r="E377" s="8"/>
      <c r="F377" s="8"/>
    </row>
    <row r="378" ht="15.75" customHeight="1">
      <c r="A378" s="9"/>
      <c r="B378" s="8"/>
      <c r="C378" s="8"/>
      <c r="D378" s="8" t="str">
        <f t="array" ref="D378">IF(C378="","",IFERROR(_xlfn.XLOOKUP(C378,Estoque!$A:$A,Estoque!$B:$B,""),""))</f>
        <v/>
      </c>
      <c r="E378" s="8"/>
      <c r="F378" s="8"/>
    </row>
    <row r="379" ht="15.75" customHeight="1">
      <c r="A379" s="9"/>
      <c r="B379" s="8"/>
      <c r="C379" s="8"/>
      <c r="D379" s="8" t="str">
        <f t="array" ref="D379">IF(C379="","",IFERROR(_xlfn.XLOOKUP(C379,Estoque!$A:$A,Estoque!$B:$B,""),""))</f>
        <v/>
      </c>
      <c r="E379" s="8"/>
      <c r="F379" s="8"/>
    </row>
    <row r="380" ht="15.75" customHeight="1">
      <c r="A380" s="9"/>
      <c r="B380" s="8"/>
      <c r="C380" s="8"/>
      <c r="D380" s="8" t="str">
        <f t="array" ref="D380">IF(C380="","",IFERROR(_xlfn.XLOOKUP(C380,Estoque!$A:$A,Estoque!$B:$B,""),""))</f>
        <v/>
      </c>
      <c r="E380" s="8"/>
      <c r="F380" s="8"/>
    </row>
    <row r="381" ht="15.75" customHeight="1">
      <c r="A381" s="9"/>
      <c r="B381" s="8"/>
      <c r="C381" s="8"/>
      <c r="D381" s="8" t="str">
        <f t="array" ref="D381">IF(C381="","",IFERROR(_xlfn.XLOOKUP(C381,Estoque!$A:$A,Estoque!$B:$B,""),""))</f>
        <v/>
      </c>
      <c r="E381" s="8"/>
      <c r="F381" s="8"/>
    </row>
    <row r="382" ht="15.75" customHeight="1">
      <c r="A382" s="9"/>
      <c r="B382" s="8"/>
      <c r="C382" s="8"/>
      <c r="D382" s="8" t="str">
        <f t="array" ref="D382">IF(C382="","",IFERROR(_xlfn.XLOOKUP(C382,Estoque!$A:$A,Estoque!$B:$B,""),""))</f>
        <v/>
      </c>
      <c r="E382" s="8"/>
      <c r="F382" s="8"/>
    </row>
    <row r="383" ht="15.75" customHeight="1">
      <c r="A383" s="9"/>
      <c r="B383" s="8"/>
      <c r="C383" s="8"/>
      <c r="D383" s="8" t="str">
        <f t="array" ref="D383">IF(C383="","",IFERROR(_xlfn.XLOOKUP(C383,Estoque!$A:$A,Estoque!$B:$B,""),""))</f>
        <v/>
      </c>
      <c r="E383" s="8"/>
      <c r="F383" s="8"/>
    </row>
    <row r="384" ht="15.75" customHeight="1">
      <c r="A384" s="9"/>
      <c r="B384" s="8"/>
      <c r="C384" s="8"/>
      <c r="D384" s="8" t="str">
        <f t="array" ref="D384">IF(C384="","",IFERROR(_xlfn.XLOOKUP(C384,Estoque!$A:$A,Estoque!$B:$B,""),""))</f>
        <v/>
      </c>
      <c r="E384" s="8"/>
      <c r="F384" s="8"/>
    </row>
    <row r="385" ht="15.75" customHeight="1">
      <c r="A385" s="9"/>
      <c r="B385" s="8"/>
      <c r="C385" s="8"/>
      <c r="D385" s="8" t="str">
        <f t="array" ref="D385">IF(C385="","",IFERROR(_xlfn.XLOOKUP(C385,Estoque!$A:$A,Estoque!$B:$B,""),""))</f>
        <v/>
      </c>
      <c r="E385" s="8"/>
      <c r="F385" s="8"/>
    </row>
    <row r="386" ht="15.75" customHeight="1">
      <c r="A386" s="9"/>
      <c r="B386" s="8"/>
      <c r="C386" s="8"/>
      <c r="D386" s="8" t="str">
        <f t="array" ref="D386">IF(C386="","",IFERROR(_xlfn.XLOOKUP(C386,Estoque!$A:$A,Estoque!$B:$B,""),""))</f>
        <v/>
      </c>
      <c r="E386" s="8"/>
      <c r="F386" s="8"/>
    </row>
    <row r="387" ht="15.75" customHeight="1">
      <c r="A387" s="9"/>
      <c r="B387" s="8"/>
      <c r="C387" s="8"/>
      <c r="D387" s="8" t="str">
        <f t="array" ref="D387">IF(C387="","",IFERROR(_xlfn.XLOOKUP(C387,Estoque!$A:$A,Estoque!$B:$B,""),""))</f>
        <v/>
      </c>
      <c r="E387" s="8"/>
      <c r="F387" s="8"/>
    </row>
    <row r="388" ht="15.75" customHeight="1">
      <c r="A388" s="9"/>
      <c r="B388" s="8"/>
      <c r="C388" s="8"/>
      <c r="D388" s="8" t="str">
        <f t="array" ref="D388">IF(C388="","",IFERROR(_xlfn.XLOOKUP(C388,Estoque!$A:$A,Estoque!$B:$B,""),""))</f>
        <v/>
      </c>
      <c r="E388" s="8"/>
      <c r="F388" s="8"/>
    </row>
    <row r="389" ht="15.75" customHeight="1">
      <c r="A389" s="9"/>
      <c r="B389" s="8"/>
      <c r="C389" s="8"/>
      <c r="D389" s="8" t="str">
        <f t="array" ref="D389">IF(C389="","",IFERROR(_xlfn.XLOOKUP(C389,Estoque!$A:$A,Estoque!$B:$B,""),""))</f>
        <v/>
      </c>
      <c r="E389" s="8"/>
      <c r="F389" s="8"/>
    </row>
    <row r="390" ht="15.75" customHeight="1">
      <c r="A390" s="9"/>
      <c r="B390" s="8"/>
      <c r="C390" s="8"/>
      <c r="D390" s="8" t="str">
        <f t="array" ref="D390">IF(C390="","",IFERROR(_xlfn.XLOOKUP(C390,Estoque!$A:$A,Estoque!$B:$B,""),""))</f>
        <v/>
      </c>
      <c r="E390" s="8"/>
      <c r="F390" s="8"/>
    </row>
    <row r="391" ht="15.75" customHeight="1">
      <c r="A391" s="9"/>
      <c r="B391" s="8"/>
      <c r="C391" s="8"/>
      <c r="D391" s="8" t="str">
        <f t="array" ref="D391">IF(C391="","",IFERROR(_xlfn.XLOOKUP(C391,Estoque!$A:$A,Estoque!$B:$B,""),""))</f>
        <v/>
      </c>
      <c r="E391" s="8"/>
      <c r="F391" s="8"/>
    </row>
    <row r="392" ht="15.75" customHeight="1">
      <c r="A392" s="9"/>
      <c r="B392" s="8"/>
      <c r="C392" s="8"/>
      <c r="D392" s="8" t="str">
        <f t="array" ref="D392">IF(C392="","",IFERROR(_xlfn.XLOOKUP(C392,Estoque!$A:$A,Estoque!$B:$B,""),""))</f>
        <v/>
      </c>
      <c r="E392" s="8"/>
      <c r="F392" s="8"/>
    </row>
    <row r="393" ht="15.75" customHeight="1">
      <c r="A393" s="9"/>
      <c r="B393" s="8"/>
      <c r="C393" s="8"/>
      <c r="D393" s="8" t="str">
        <f t="array" ref="D393">IF(C393="","",IFERROR(_xlfn.XLOOKUP(C393,Estoque!$A:$A,Estoque!$B:$B,""),""))</f>
        <v/>
      </c>
      <c r="E393" s="8"/>
      <c r="F393" s="8"/>
    </row>
    <row r="394" ht="15.75" customHeight="1">
      <c r="A394" s="9"/>
      <c r="B394" s="8"/>
      <c r="C394" s="8"/>
      <c r="D394" s="8" t="str">
        <f t="array" ref="D394">IF(C394="","",IFERROR(_xlfn.XLOOKUP(C394,Estoque!$A:$A,Estoque!$B:$B,""),""))</f>
        <v/>
      </c>
      <c r="E394" s="8"/>
      <c r="F394" s="8"/>
    </row>
    <row r="395" ht="15.75" customHeight="1">
      <c r="A395" s="9"/>
      <c r="B395" s="8"/>
      <c r="C395" s="8"/>
      <c r="D395" s="8" t="str">
        <f t="array" ref="D395">IF(C395="","",IFERROR(_xlfn.XLOOKUP(C395,Estoque!$A:$A,Estoque!$B:$B,""),""))</f>
        <v/>
      </c>
      <c r="E395" s="8"/>
      <c r="F395" s="8"/>
    </row>
    <row r="396" ht="15.75" customHeight="1">
      <c r="A396" s="9"/>
      <c r="B396" s="8"/>
      <c r="C396" s="8"/>
      <c r="D396" s="8" t="str">
        <f t="array" ref="D396">IF(C396="","",IFERROR(_xlfn.XLOOKUP(C396,Estoque!$A:$A,Estoque!$B:$B,""),""))</f>
        <v/>
      </c>
      <c r="E396" s="8"/>
      <c r="F396" s="8"/>
    </row>
    <row r="397" ht="15.75" customHeight="1">
      <c r="A397" s="9"/>
      <c r="B397" s="8"/>
      <c r="C397" s="8"/>
      <c r="D397" s="8" t="str">
        <f t="array" ref="D397">IF(C397="","",IFERROR(_xlfn.XLOOKUP(C397,Estoque!$A:$A,Estoque!$B:$B,""),""))</f>
        <v/>
      </c>
      <c r="E397" s="8"/>
      <c r="F397" s="8"/>
    </row>
    <row r="398" ht="15.75" customHeight="1">
      <c r="A398" s="9"/>
      <c r="B398" s="8"/>
      <c r="C398" s="8"/>
      <c r="D398" s="8" t="str">
        <f t="array" ref="D398">IF(C398="","",IFERROR(_xlfn.XLOOKUP(C398,Estoque!$A:$A,Estoque!$B:$B,""),""))</f>
        <v/>
      </c>
      <c r="E398" s="8"/>
      <c r="F398" s="8"/>
    </row>
    <row r="399" ht="15.75" customHeight="1">
      <c r="A399" s="9"/>
      <c r="B399" s="8"/>
      <c r="C399" s="8"/>
      <c r="D399" s="8" t="str">
        <f t="array" ref="D399">IF(C399="","",IFERROR(_xlfn.XLOOKUP(C399,Estoque!$A:$A,Estoque!$B:$B,""),""))</f>
        <v/>
      </c>
      <c r="E399" s="8"/>
      <c r="F399" s="8"/>
    </row>
    <row r="400" ht="15.75" customHeight="1">
      <c r="A400" s="9"/>
      <c r="B400" s="8"/>
      <c r="C400" s="8"/>
      <c r="D400" s="8" t="str">
        <f t="array" ref="D400">IF(C400="","",IFERROR(_xlfn.XLOOKUP(C400,Estoque!$A:$A,Estoque!$B:$B,""),""))</f>
        <v/>
      </c>
      <c r="E400" s="8"/>
      <c r="F400" s="8"/>
    </row>
    <row r="401" ht="15.75" customHeight="1">
      <c r="A401" s="9"/>
      <c r="B401" s="8"/>
      <c r="C401" s="8"/>
      <c r="D401" s="8" t="str">
        <f t="array" ref="D401">IF(C401="","",IFERROR(_xlfn.XLOOKUP(C401,Estoque!$A:$A,Estoque!$B:$B,""),""))</f>
        <v/>
      </c>
      <c r="E401" s="8"/>
      <c r="F401" s="8"/>
    </row>
    <row r="402" ht="15.75" customHeight="1">
      <c r="A402" s="9"/>
      <c r="B402" s="8"/>
      <c r="C402" s="8"/>
      <c r="D402" s="8" t="str">
        <f t="array" ref="D402">IF(C402="","",IFERROR(_xlfn.XLOOKUP(C402,Estoque!$A:$A,Estoque!$B:$B,""),""))</f>
        <v/>
      </c>
      <c r="E402" s="8"/>
      <c r="F402" s="8"/>
    </row>
    <row r="403" ht="15.75" customHeight="1">
      <c r="A403" s="9"/>
      <c r="B403" s="8"/>
      <c r="C403" s="8"/>
      <c r="D403" s="8" t="str">
        <f t="array" ref="D403">IF(C403="","",IFERROR(_xlfn.XLOOKUP(C403,Estoque!$A:$A,Estoque!$B:$B,""),""))</f>
        <v/>
      </c>
      <c r="E403" s="8"/>
      <c r="F403" s="8"/>
    </row>
    <row r="404" ht="15.75" customHeight="1">
      <c r="A404" s="9"/>
      <c r="B404" s="8"/>
      <c r="C404" s="8"/>
      <c r="D404" s="8" t="str">
        <f t="array" ref="D404">IF(C404="","",IFERROR(_xlfn.XLOOKUP(C404,Estoque!$A:$A,Estoque!$B:$B,""),""))</f>
        <v/>
      </c>
      <c r="E404" s="8"/>
      <c r="F404" s="8"/>
    </row>
    <row r="405" ht="15.75" customHeight="1">
      <c r="A405" s="9"/>
      <c r="B405" s="8"/>
      <c r="C405" s="8"/>
      <c r="D405" s="8" t="str">
        <f t="array" ref="D405">IF(C405="","",IFERROR(_xlfn.XLOOKUP(C405,Estoque!$A:$A,Estoque!$B:$B,""),""))</f>
        <v/>
      </c>
      <c r="E405" s="8"/>
      <c r="F405" s="8"/>
    </row>
    <row r="406" ht="15.75" customHeight="1">
      <c r="A406" s="9"/>
      <c r="B406" s="8"/>
      <c r="C406" s="8"/>
      <c r="D406" s="8" t="str">
        <f t="array" ref="D406">IF(C406="","",IFERROR(_xlfn.XLOOKUP(C406,Estoque!$A:$A,Estoque!$B:$B,""),""))</f>
        <v/>
      </c>
      <c r="E406" s="8"/>
      <c r="F406" s="8"/>
    </row>
    <row r="407" ht="15.75" customHeight="1">
      <c r="A407" s="9"/>
      <c r="B407" s="8"/>
      <c r="C407" s="8"/>
      <c r="D407" s="8" t="str">
        <f t="array" ref="D407">IF(C407="","",IFERROR(_xlfn.XLOOKUP(C407,Estoque!$A:$A,Estoque!$B:$B,""),""))</f>
        <v/>
      </c>
      <c r="E407" s="8"/>
      <c r="F407" s="8"/>
    </row>
    <row r="408" ht="15.75" customHeight="1">
      <c r="A408" s="9"/>
      <c r="B408" s="8"/>
      <c r="C408" s="8"/>
      <c r="D408" s="8" t="str">
        <f t="array" ref="D408">IF(C408="","",IFERROR(_xlfn.XLOOKUP(C408,Estoque!$A:$A,Estoque!$B:$B,""),""))</f>
        <v/>
      </c>
      <c r="E408" s="8"/>
      <c r="F408" s="8"/>
    </row>
    <row r="409" ht="15.75" customHeight="1">
      <c r="A409" s="9"/>
      <c r="B409" s="8"/>
      <c r="C409" s="8"/>
      <c r="D409" s="8" t="str">
        <f t="array" ref="D409">IF(C409="","",IFERROR(_xlfn.XLOOKUP(C409,Estoque!$A:$A,Estoque!$B:$B,""),""))</f>
        <v/>
      </c>
      <c r="E409" s="8"/>
      <c r="F409" s="8"/>
    </row>
    <row r="410" ht="15.75" customHeight="1">
      <c r="A410" s="9"/>
      <c r="B410" s="8"/>
      <c r="C410" s="8"/>
      <c r="D410" s="8" t="str">
        <f t="array" ref="D410">IF(C410="","",IFERROR(_xlfn.XLOOKUP(C410,Estoque!$A:$A,Estoque!$B:$B,""),""))</f>
        <v/>
      </c>
      <c r="E410" s="8"/>
      <c r="F410" s="8"/>
    </row>
    <row r="411" ht="15.75" customHeight="1">
      <c r="A411" s="9"/>
      <c r="B411" s="8"/>
      <c r="C411" s="8"/>
      <c r="D411" s="8" t="str">
        <f t="array" ref="D411">IF(C411="","",IFERROR(_xlfn.XLOOKUP(C411,Estoque!$A:$A,Estoque!$B:$B,""),""))</f>
        <v/>
      </c>
      <c r="E411" s="8"/>
      <c r="F411" s="8"/>
    </row>
    <row r="412" ht="15.75" customHeight="1">
      <c r="A412" s="9"/>
      <c r="B412" s="8"/>
      <c r="C412" s="8"/>
      <c r="D412" s="8" t="str">
        <f t="array" ref="D412">IF(C412="","",IFERROR(_xlfn.XLOOKUP(C412,Estoque!$A:$A,Estoque!$B:$B,""),""))</f>
        <v/>
      </c>
      <c r="E412" s="8"/>
      <c r="F412" s="8"/>
    </row>
    <row r="413" ht="15.75" customHeight="1">
      <c r="A413" s="9"/>
      <c r="B413" s="8"/>
      <c r="C413" s="8"/>
      <c r="D413" s="8" t="str">
        <f t="array" ref="D413">IF(C413="","",IFERROR(_xlfn.XLOOKUP(C413,Estoque!$A:$A,Estoque!$B:$B,""),""))</f>
        <v/>
      </c>
      <c r="E413" s="8"/>
      <c r="F413" s="8"/>
    </row>
    <row r="414" ht="15.75" customHeight="1">
      <c r="A414" s="9"/>
      <c r="B414" s="8"/>
      <c r="C414" s="8"/>
      <c r="D414" s="8" t="str">
        <f t="array" ref="D414">IF(C414="","",IFERROR(_xlfn.XLOOKUP(C414,Estoque!$A:$A,Estoque!$B:$B,""),""))</f>
        <v/>
      </c>
      <c r="E414" s="8"/>
      <c r="F414" s="8"/>
    </row>
    <row r="415" ht="15.75" customHeight="1">
      <c r="A415" s="9"/>
      <c r="B415" s="8"/>
      <c r="C415" s="8"/>
      <c r="D415" s="8" t="str">
        <f t="array" ref="D415">IF(C415="","",IFERROR(_xlfn.XLOOKUP(C415,Estoque!$A:$A,Estoque!$B:$B,""),""))</f>
        <v/>
      </c>
      <c r="E415" s="8"/>
      <c r="F415" s="8"/>
    </row>
    <row r="416" ht="15.75" customHeight="1">
      <c r="A416" s="9"/>
      <c r="B416" s="8"/>
      <c r="C416" s="8"/>
      <c r="D416" s="8" t="str">
        <f t="array" ref="D416">IF(C416="","",IFERROR(_xlfn.XLOOKUP(C416,Estoque!$A:$A,Estoque!$B:$B,""),""))</f>
        <v/>
      </c>
      <c r="E416" s="8"/>
      <c r="F416" s="8"/>
    </row>
    <row r="417" ht="15.75" customHeight="1">
      <c r="A417" s="9"/>
      <c r="B417" s="8"/>
      <c r="C417" s="8"/>
      <c r="D417" s="8" t="str">
        <f t="array" ref="D417">IF(C417="","",IFERROR(_xlfn.XLOOKUP(C417,Estoque!$A:$A,Estoque!$B:$B,""),""))</f>
        <v/>
      </c>
      <c r="E417" s="8"/>
      <c r="F417" s="8"/>
    </row>
    <row r="418" ht="15.75" customHeight="1">
      <c r="A418" s="9"/>
      <c r="B418" s="8"/>
      <c r="C418" s="8"/>
      <c r="D418" s="8" t="str">
        <f t="array" ref="D418">IF(C418="","",IFERROR(_xlfn.XLOOKUP(C418,Estoque!$A:$A,Estoque!$B:$B,""),""))</f>
        <v/>
      </c>
      <c r="E418" s="8"/>
      <c r="F418" s="8"/>
    </row>
    <row r="419" ht="15.75" customHeight="1">
      <c r="A419" s="9"/>
      <c r="B419" s="8"/>
      <c r="C419" s="8"/>
      <c r="D419" s="8" t="str">
        <f t="array" ref="D419">IF(C419="","",IFERROR(_xlfn.XLOOKUP(C419,Estoque!$A:$A,Estoque!$B:$B,""),""))</f>
        <v/>
      </c>
      <c r="E419" s="8"/>
      <c r="F419" s="8"/>
    </row>
    <row r="420" ht="15.75" customHeight="1">
      <c r="A420" s="9"/>
      <c r="B420" s="8"/>
      <c r="C420" s="8"/>
      <c r="D420" s="8" t="str">
        <f t="array" ref="D420">IF(C420="","",IFERROR(_xlfn.XLOOKUP(C420,Estoque!$A:$A,Estoque!$B:$B,""),""))</f>
        <v/>
      </c>
      <c r="E420" s="8"/>
      <c r="F420" s="8"/>
    </row>
    <row r="421" ht="15.75" customHeight="1">
      <c r="A421" s="9"/>
      <c r="B421" s="8"/>
      <c r="C421" s="8"/>
      <c r="D421" s="8" t="str">
        <f t="array" ref="D421">IF(C421="","",IFERROR(_xlfn.XLOOKUP(C421,Estoque!$A:$A,Estoque!$B:$B,""),""))</f>
        <v/>
      </c>
      <c r="E421" s="8"/>
      <c r="F421" s="8"/>
    </row>
    <row r="422" ht="15.75" customHeight="1">
      <c r="A422" s="9"/>
      <c r="B422" s="8"/>
      <c r="C422" s="8"/>
      <c r="D422" s="8" t="str">
        <f t="array" ref="D422">IF(C422="","",IFERROR(_xlfn.XLOOKUP(C422,Estoque!$A:$A,Estoque!$B:$B,""),""))</f>
        <v/>
      </c>
      <c r="E422" s="8"/>
      <c r="F422" s="8"/>
    </row>
    <row r="423" ht="15.75" customHeight="1">
      <c r="A423" s="9"/>
      <c r="B423" s="8"/>
      <c r="C423" s="8"/>
      <c r="D423" s="8" t="str">
        <f t="array" ref="D423">IF(C423="","",IFERROR(_xlfn.XLOOKUP(C423,Estoque!$A:$A,Estoque!$B:$B,""),""))</f>
        <v/>
      </c>
      <c r="E423" s="8"/>
      <c r="F423" s="8"/>
    </row>
    <row r="424" ht="15.75" customHeight="1">
      <c r="A424" s="9"/>
      <c r="B424" s="8"/>
      <c r="C424" s="8"/>
      <c r="D424" s="8" t="str">
        <f t="array" ref="D424">IF(C424="","",IFERROR(_xlfn.XLOOKUP(C424,Estoque!$A:$A,Estoque!$B:$B,""),""))</f>
        <v/>
      </c>
      <c r="E424" s="8"/>
      <c r="F424" s="8"/>
    </row>
    <row r="425" ht="15.75" customHeight="1">
      <c r="A425" s="9"/>
      <c r="B425" s="8"/>
      <c r="C425" s="8"/>
      <c r="D425" s="8" t="str">
        <f t="array" ref="D425">IF(C425="","",IFERROR(_xlfn.XLOOKUP(C425,Estoque!$A:$A,Estoque!$B:$B,""),""))</f>
        <v/>
      </c>
      <c r="E425" s="8"/>
      <c r="F425" s="8"/>
    </row>
    <row r="426" ht="15.75" customHeight="1">
      <c r="A426" s="9"/>
      <c r="B426" s="8"/>
      <c r="C426" s="8"/>
      <c r="D426" s="8" t="str">
        <f t="array" ref="D426">IF(C426="","",IFERROR(_xlfn.XLOOKUP(C426,Estoque!$A:$A,Estoque!$B:$B,""),""))</f>
        <v/>
      </c>
      <c r="E426" s="8"/>
      <c r="F426" s="8"/>
    </row>
    <row r="427" ht="15.75" customHeight="1">
      <c r="A427" s="9"/>
      <c r="B427" s="8"/>
      <c r="C427" s="8"/>
      <c r="D427" s="8" t="str">
        <f t="array" ref="D427">IF(C427="","",IFERROR(_xlfn.XLOOKUP(C427,Estoque!$A:$A,Estoque!$B:$B,""),""))</f>
        <v/>
      </c>
      <c r="E427" s="8"/>
      <c r="F427" s="8"/>
    </row>
    <row r="428" ht="15.75" customHeight="1">
      <c r="A428" s="9"/>
      <c r="B428" s="8"/>
      <c r="C428" s="8"/>
      <c r="D428" s="8" t="str">
        <f t="array" ref="D428">IF(C428="","",IFERROR(_xlfn.XLOOKUP(C428,Estoque!$A:$A,Estoque!$B:$B,""),""))</f>
        <v/>
      </c>
      <c r="E428" s="8"/>
      <c r="F428" s="8"/>
    </row>
    <row r="429" ht="15.75" customHeight="1">
      <c r="A429" s="9"/>
      <c r="B429" s="8"/>
      <c r="C429" s="8"/>
      <c r="D429" s="8" t="str">
        <f t="array" ref="D429">IF(C429="","",IFERROR(_xlfn.XLOOKUP(C429,Estoque!$A:$A,Estoque!$B:$B,""),""))</f>
        <v/>
      </c>
      <c r="E429" s="8"/>
      <c r="F429" s="8"/>
    </row>
    <row r="430" ht="15.75" customHeight="1">
      <c r="A430" s="9"/>
      <c r="B430" s="8"/>
      <c r="C430" s="8"/>
      <c r="D430" s="8" t="str">
        <f t="array" ref="D430">IF(C430="","",IFERROR(_xlfn.XLOOKUP(C430,Estoque!$A:$A,Estoque!$B:$B,""),""))</f>
        <v/>
      </c>
      <c r="E430" s="8"/>
      <c r="F430" s="8"/>
    </row>
    <row r="431" ht="15.75" customHeight="1">
      <c r="A431" s="9"/>
      <c r="B431" s="8"/>
      <c r="C431" s="8"/>
      <c r="D431" s="8" t="str">
        <f t="array" ref="D431">IF(C431="","",IFERROR(_xlfn.XLOOKUP(C431,Estoque!$A:$A,Estoque!$B:$B,""),""))</f>
        <v/>
      </c>
      <c r="E431" s="8"/>
      <c r="F431" s="8"/>
    </row>
    <row r="432" ht="15.75" customHeight="1">
      <c r="A432" s="9"/>
      <c r="B432" s="8"/>
      <c r="C432" s="8"/>
      <c r="D432" s="8" t="str">
        <f t="array" ref="D432">IF(C432="","",IFERROR(_xlfn.XLOOKUP(C432,Estoque!$A:$A,Estoque!$B:$B,""),""))</f>
        <v/>
      </c>
      <c r="E432" s="8"/>
      <c r="F432" s="8"/>
    </row>
    <row r="433" ht="15.75" customHeight="1">
      <c r="A433" s="9"/>
      <c r="B433" s="8"/>
      <c r="C433" s="8"/>
      <c r="D433" s="8" t="str">
        <f t="array" ref="D433">IF(C433="","",IFERROR(_xlfn.XLOOKUP(C433,Estoque!$A:$A,Estoque!$B:$B,""),""))</f>
        <v/>
      </c>
      <c r="E433" s="8"/>
      <c r="F433" s="8"/>
    </row>
    <row r="434" ht="15.75" customHeight="1">
      <c r="A434" s="9"/>
      <c r="B434" s="8"/>
      <c r="C434" s="8"/>
      <c r="D434" s="8" t="str">
        <f t="array" ref="D434">IF(C434="","",IFERROR(_xlfn.XLOOKUP(C434,Estoque!$A:$A,Estoque!$B:$B,""),""))</f>
        <v/>
      </c>
      <c r="E434" s="8"/>
      <c r="F434" s="8"/>
    </row>
    <row r="435" ht="15.75" customHeight="1">
      <c r="A435" s="9"/>
      <c r="B435" s="8"/>
      <c r="C435" s="8"/>
      <c r="D435" s="8" t="str">
        <f t="array" ref="D435">IF(C435="","",IFERROR(_xlfn.XLOOKUP(C435,Estoque!$A:$A,Estoque!$B:$B,""),""))</f>
        <v/>
      </c>
      <c r="E435" s="8"/>
      <c r="F435" s="8"/>
    </row>
    <row r="436" ht="15.75" customHeight="1">
      <c r="A436" s="9"/>
      <c r="B436" s="8"/>
      <c r="C436" s="8"/>
      <c r="D436" s="8" t="str">
        <f t="array" ref="D436">IF(C436="","",IFERROR(_xlfn.XLOOKUP(C436,Estoque!$A:$A,Estoque!$B:$B,""),""))</f>
        <v/>
      </c>
      <c r="E436" s="8"/>
      <c r="F436" s="8"/>
    </row>
    <row r="437" ht="15.75" customHeight="1">
      <c r="A437" s="9"/>
      <c r="B437" s="8"/>
      <c r="C437" s="8"/>
      <c r="D437" s="8" t="str">
        <f t="array" ref="D437">IF(C437="","",IFERROR(_xlfn.XLOOKUP(C437,Estoque!$A:$A,Estoque!$B:$B,""),""))</f>
        <v/>
      </c>
      <c r="E437" s="8"/>
      <c r="F437" s="8"/>
    </row>
    <row r="438" ht="15.75" customHeight="1">
      <c r="A438" s="9"/>
      <c r="B438" s="8"/>
      <c r="C438" s="8"/>
      <c r="D438" s="8" t="str">
        <f t="array" ref="D438">IF(C438="","",IFERROR(_xlfn.XLOOKUP(C438,Estoque!$A:$A,Estoque!$B:$B,""),""))</f>
        <v/>
      </c>
      <c r="E438" s="8"/>
      <c r="F438" s="8"/>
    </row>
    <row r="439" ht="15.75" customHeight="1">
      <c r="A439" s="9"/>
      <c r="B439" s="8"/>
      <c r="C439" s="8"/>
      <c r="D439" s="8" t="str">
        <f t="array" ref="D439">IF(C439="","",IFERROR(_xlfn.XLOOKUP(C439,Estoque!$A:$A,Estoque!$B:$B,""),""))</f>
        <v/>
      </c>
      <c r="E439" s="8"/>
      <c r="F439" s="8"/>
    </row>
    <row r="440" ht="15.75" customHeight="1">
      <c r="A440" s="9"/>
      <c r="B440" s="8"/>
      <c r="C440" s="8"/>
      <c r="D440" s="8" t="str">
        <f t="array" ref="D440">IF(C440="","",IFERROR(_xlfn.XLOOKUP(C440,Estoque!$A:$A,Estoque!$B:$B,""),""))</f>
        <v/>
      </c>
      <c r="E440" s="8"/>
      <c r="F440" s="8"/>
    </row>
    <row r="441" ht="15.75" customHeight="1">
      <c r="A441" s="9"/>
      <c r="B441" s="8"/>
      <c r="C441" s="8"/>
      <c r="D441" s="8" t="str">
        <f t="array" ref="D441">IF(C441="","",IFERROR(_xlfn.XLOOKUP(C441,Estoque!$A:$A,Estoque!$B:$B,""),""))</f>
        <v/>
      </c>
      <c r="E441" s="8"/>
      <c r="F441" s="8"/>
    </row>
    <row r="442" ht="15.75" customHeight="1">
      <c r="A442" s="9"/>
      <c r="B442" s="8"/>
      <c r="C442" s="8"/>
      <c r="D442" s="8" t="str">
        <f t="array" ref="D442">IF(C442="","",IFERROR(_xlfn.XLOOKUP(C442,Estoque!$A:$A,Estoque!$B:$B,""),""))</f>
        <v/>
      </c>
      <c r="E442" s="8"/>
      <c r="F442" s="8"/>
    </row>
    <row r="443" ht="15.75" customHeight="1">
      <c r="A443" s="9"/>
      <c r="B443" s="8"/>
      <c r="C443" s="8"/>
      <c r="D443" s="8" t="str">
        <f t="array" ref="D443">IF(C443="","",IFERROR(_xlfn.XLOOKUP(C443,Estoque!$A:$A,Estoque!$B:$B,""),""))</f>
        <v/>
      </c>
      <c r="E443" s="8"/>
      <c r="F443" s="8"/>
    </row>
    <row r="444" ht="15.75" customHeight="1">
      <c r="A444" s="9"/>
      <c r="B444" s="8"/>
      <c r="C444" s="8"/>
      <c r="D444" s="8" t="str">
        <f t="array" ref="D444">IF(C444="","",IFERROR(_xlfn.XLOOKUP(C444,Estoque!$A:$A,Estoque!$B:$B,""),""))</f>
        <v/>
      </c>
      <c r="E444" s="8"/>
      <c r="F444" s="8"/>
    </row>
    <row r="445" ht="15.75" customHeight="1">
      <c r="A445" s="9"/>
      <c r="B445" s="8"/>
      <c r="C445" s="8"/>
      <c r="D445" s="8" t="str">
        <f t="array" ref="D445">IF(C445="","",IFERROR(_xlfn.XLOOKUP(C445,Estoque!$A:$A,Estoque!$B:$B,""),""))</f>
        <v/>
      </c>
      <c r="E445" s="8"/>
      <c r="F445" s="8"/>
    </row>
    <row r="446" ht="15.75" customHeight="1">
      <c r="A446" s="9"/>
      <c r="B446" s="8"/>
      <c r="C446" s="8"/>
      <c r="D446" s="8" t="str">
        <f t="array" ref="D446">IF(C446="","",IFERROR(_xlfn.XLOOKUP(C446,Estoque!$A:$A,Estoque!$B:$B,""),""))</f>
        <v/>
      </c>
      <c r="E446" s="8"/>
      <c r="F446" s="8"/>
    </row>
    <row r="447" ht="15.75" customHeight="1">
      <c r="A447" s="9"/>
      <c r="B447" s="8"/>
      <c r="C447" s="8"/>
      <c r="D447" s="8" t="str">
        <f t="array" ref="D447">IF(C447="","",IFERROR(_xlfn.XLOOKUP(C447,Estoque!$A:$A,Estoque!$B:$B,""),""))</f>
        <v/>
      </c>
      <c r="E447" s="8"/>
      <c r="F447" s="8"/>
    </row>
    <row r="448" ht="15.75" customHeight="1">
      <c r="A448" s="9"/>
      <c r="B448" s="8"/>
      <c r="C448" s="8"/>
      <c r="D448" s="8" t="str">
        <f t="array" ref="D448">IF(C448="","",IFERROR(_xlfn.XLOOKUP(C448,Estoque!$A:$A,Estoque!$B:$B,""),""))</f>
        <v/>
      </c>
      <c r="E448" s="8"/>
      <c r="F448" s="8"/>
    </row>
    <row r="449" ht="15.75" customHeight="1">
      <c r="A449" s="9"/>
      <c r="B449" s="8"/>
      <c r="C449" s="8"/>
      <c r="D449" s="8" t="str">
        <f t="array" ref="D449">IF(C449="","",IFERROR(_xlfn.XLOOKUP(C449,Estoque!$A:$A,Estoque!$B:$B,""),""))</f>
        <v/>
      </c>
      <c r="E449" s="8"/>
      <c r="F449" s="8"/>
    </row>
    <row r="450" ht="15.75" customHeight="1">
      <c r="A450" s="9"/>
      <c r="B450" s="8"/>
      <c r="C450" s="8"/>
      <c r="D450" s="8" t="str">
        <f t="array" ref="D450">IF(C450="","",IFERROR(_xlfn.XLOOKUP(C450,Estoque!$A:$A,Estoque!$B:$B,""),""))</f>
        <v/>
      </c>
      <c r="E450" s="8"/>
      <c r="F450" s="8"/>
    </row>
    <row r="451" ht="15.75" customHeight="1">
      <c r="A451" s="9"/>
      <c r="B451" s="8"/>
      <c r="C451" s="8"/>
      <c r="D451" s="8" t="str">
        <f t="array" ref="D451">IF(C451="","",IFERROR(_xlfn.XLOOKUP(C451,Estoque!$A:$A,Estoque!$B:$B,""),""))</f>
        <v/>
      </c>
      <c r="E451" s="8"/>
      <c r="F451" s="8"/>
    </row>
    <row r="452" ht="15.75" customHeight="1">
      <c r="A452" s="9"/>
      <c r="B452" s="8"/>
      <c r="C452" s="8"/>
      <c r="D452" s="8" t="str">
        <f t="array" ref="D452">IF(C452="","",IFERROR(_xlfn.XLOOKUP(C452,Estoque!$A:$A,Estoque!$B:$B,""),""))</f>
        <v/>
      </c>
      <c r="E452" s="8"/>
      <c r="F452" s="8"/>
    </row>
    <row r="453" ht="15.75" customHeight="1">
      <c r="A453" s="9"/>
      <c r="B453" s="8"/>
      <c r="C453" s="8"/>
      <c r="D453" s="8" t="str">
        <f t="array" ref="D453">IF(C453="","",IFERROR(_xlfn.XLOOKUP(C453,Estoque!$A:$A,Estoque!$B:$B,""),""))</f>
        <v/>
      </c>
      <c r="E453" s="8"/>
      <c r="F453" s="8"/>
    </row>
    <row r="454" ht="15.75" customHeight="1">
      <c r="A454" s="9"/>
      <c r="B454" s="8"/>
      <c r="C454" s="8"/>
      <c r="D454" s="8" t="str">
        <f t="array" ref="D454">IF(C454="","",IFERROR(_xlfn.XLOOKUP(C454,Estoque!$A:$A,Estoque!$B:$B,""),""))</f>
        <v/>
      </c>
      <c r="E454" s="8"/>
      <c r="F454" s="8"/>
    </row>
    <row r="455" ht="15.75" customHeight="1">
      <c r="A455" s="9"/>
      <c r="B455" s="8"/>
      <c r="C455" s="8"/>
      <c r="D455" s="8" t="str">
        <f t="array" ref="D455">IF(C455="","",IFERROR(_xlfn.XLOOKUP(C455,Estoque!$A:$A,Estoque!$B:$B,""),""))</f>
        <v/>
      </c>
      <c r="E455" s="8"/>
      <c r="F455" s="8"/>
    </row>
    <row r="456" ht="15.75" customHeight="1">
      <c r="A456" s="9"/>
      <c r="B456" s="8"/>
      <c r="C456" s="8"/>
      <c r="D456" s="8" t="str">
        <f t="array" ref="D456">IF(C456="","",IFERROR(_xlfn.XLOOKUP(C456,Estoque!$A:$A,Estoque!$B:$B,""),""))</f>
        <v/>
      </c>
      <c r="E456" s="8"/>
      <c r="F456" s="8"/>
    </row>
    <row r="457" ht="15.75" customHeight="1">
      <c r="A457" s="9"/>
      <c r="B457" s="8"/>
      <c r="C457" s="8"/>
      <c r="D457" s="8" t="str">
        <f t="array" ref="D457">IF(C457="","",IFERROR(_xlfn.XLOOKUP(C457,Estoque!$A:$A,Estoque!$B:$B,""),""))</f>
        <v/>
      </c>
      <c r="E457" s="8"/>
      <c r="F457" s="8"/>
    </row>
    <row r="458" ht="15.75" customHeight="1">
      <c r="A458" s="9"/>
      <c r="B458" s="8"/>
      <c r="C458" s="8"/>
      <c r="D458" s="8" t="str">
        <f t="array" ref="D458">IF(C458="","",IFERROR(_xlfn.XLOOKUP(C458,Estoque!$A:$A,Estoque!$B:$B,""),""))</f>
        <v/>
      </c>
      <c r="E458" s="8"/>
      <c r="F458" s="8"/>
    </row>
    <row r="459" ht="15.75" customHeight="1">
      <c r="A459" s="9"/>
      <c r="B459" s="8"/>
      <c r="C459" s="8"/>
      <c r="D459" s="8" t="str">
        <f t="array" ref="D459">IF(C459="","",IFERROR(_xlfn.XLOOKUP(C459,Estoque!$A:$A,Estoque!$B:$B,""),""))</f>
        <v/>
      </c>
      <c r="E459" s="8"/>
      <c r="F459" s="8"/>
    </row>
    <row r="460" ht="15.75" customHeight="1">
      <c r="A460" s="9"/>
      <c r="B460" s="8"/>
      <c r="C460" s="8"/>
      <c r="D460" s="8" t="str">
        <f t="array" ref="D460">IF(C460="","",IFERROR(_xlfn.XLOOKUP(C460,Estoque!$A:$A,Estoque!$B:$B,""),""))</f>
        <v/>
      </c>
      <c r="E460" s="8"/>
      <c r="F460" s="8"/>
    </row>
    <row r="461" ht="15.75" customHeight="1">
      <c r="A461" s="9"/>
      <c r="B461" s="8"/>
      <c r="C461" s="8"/>
      <c r="D461" s="8" t="str">
        <f t="array" ref="D461">IF(C461="","",IFERROR(_xlfn.XLOOKUP(C461,Estoque!$A:$A,Estoque!$B:$B,""),""))</f>
        <v/>
      </c>
      <c r="E461" s="8"/>
      <c r="F461" s="8"/>
    </row>
    <row r="462" ht="15.75" customHeight="1">
      <c r="A462" s="9"/>
      <c r="B462" s="8"/>
      <c r="C462" s="8"/>
      <c r="D462" s="8" t="str">
        <f t="array" ref="D462">IF(C462="","",IFERROR(_xlfn.XLOOKUP(C462,Estoque!$A:$A,Estoque!$B:$B,""),""))</f>
        <v/>
      </c>
      <c r="E462" s="8"/>
      <c r="F462" s="8"/>
    </row>
    <row r="463" ht="15.75" customHeight="1">
      <c r="A463" s="9"/>
      <c r="B463" s="8"/>
      <c r="C463" s="8"/>
      <c r="D463" s="8" t="str">
        <f t="array" ref="D463">IF(C463="","",IFERROR(_xlfn.XLOOKUP(C463,Estoque!$A:$A,Estoque!$B:$B,""),""))</f>
        <v/>
      </c>
      <c r="E463" s="8"/>
      <c r="F463" s="8"/>
    </row>
    <row r="464" ht="15.75" customHeight="1">
      <c r="A464" s="9"/>
      <c r="B464" s="8"/>
      <c r="C464" s="8"/>
      <c r="D464" s="8" t="str">
        <f t="array" ref="D464">IF(C464="","",IFERROR(_xlfn.XLOOKUP(C464,Estoque!$A:$A,Estoque!$B:$B,""),""))</f>
        <v/>
      </c>
      <c r="E464" s="8"/>
      <c r="F464" s="8"/>
    </row>
    <row r="465" ht="15.75" customHeight="1">
      <c r="A465" s="9"/>
      <c r="B465" s="8"/>
      <c r="C465" s="8"/>
      <c r="D465" s="8" t="str">
        <f t="array" ref="D465">IF(C465="","",IFERROR(_xlfn.XLOOKUP(C465,Estoque!$A:$A,Estoque!$B:$B,""),""))</f>
        <v/>
      </c>
      <c r="E465" s="8"/>
      <c r="F465" s="8"/>
    </row>
    <row r="466" ht="15.75" customHeight="1">
      <c r="A466" s="9"/>
      <c r="B466" s="8"/>
      <c r="C466" s="8"/>
      <c r="D466" s="8" t="str">
        <f t="array" ref="D466">IF(C466="","",IFERROR(_xlfn.XLOOKUP(C466,Estoque!$A:$A,Estoque!$B:$B,""),""))</f>
        <v/>
      </c>
      <c r="E466" s="8"/>
      <c r="F466" s="8"/>
    </row>
    <row r="467" ht="15.75" customHeight="1">
      <c r="A467" s="9"/>
      <c r="B467" s="8"/>
      <c r="C467" s="8"/>
      <c r="D467" s="8" t="str">
        <f t="array" ref="D467">IF(C467="","",IFERROR(_xlfn.XLOOKUP(C467,Estoque!$A:$A,Estoque!$B:$B,""),""))</f>
        <v/>
      </c>
      <c r="E467" s="8"/>
      <c r="F467" s="8"/>
    </row>
    <row r="468" ht="15.75" customHeight="1">
      <c r="A468" s="9"/>
      <c r="B468" s="8"/>
      <c r="C468" s="8"/>
      <c r="D468" s="8" t="str">
        <f t="array" ref="D468">IF(C468="","",IFERROR(_xlfn.XLOOKUP(C468,Estoque!$A:$A,Estoque!$B:$B,""),""))</f>
        <v/>
      </c>
      <c r="E468" s="8"/>
      <c r="F468" s="8"/>
    </row>
    <row r="469" ht="15.75" customHeight="1">
      <c r="A469" s="9"/>
      <c r="B469" s="8"/>
      <c r="C469" s="8"/>
      <c r="D469" s="8" t="str">
        <f t="array" ref="D469">IF(C469="","",IFERROR(_xlfn.XLOOKUP(C469,Estoque!$A:$A,Estoque!$B:$B,""),""))</f>
        <v/>
      </c>
      <c r="E469" s="8"/>
      <c r="F469" s="8"/>
    </row>
    <row r="470" ht="15.75" customHeight="1">
      <c r="A470" s="9"/>
      <c r="B470" s="8"/>
      <c r="C470" s="8"/>
      <c r="D470" s="8" t="str">
        <f t="array" ref="D470">IF(C470="","",IFERROR(_xlfn.XLOOKUP(C470,Estoque!$A:$A,Estoque!$B:$B,""),""))</f>
        <v/>
      </c>
      <c r="E470" s="8"/>
      <c r="F470" s="8"/>
    </row>
    <row r="471" ht="15.75" customHeight="1">
      <c r="A471" s="9"/>
      <c r="B471" s="8"/>
      <c r="C471" s="8"/>
      <c r="D471" s="8" t="str">
        <f t="array" ref="D471">IF(C471="","",IFERROR(_xlfn.XLOOKUP(C471,Estoque!$A:$A,Estoque!$B:$B,""),""))</f>
        <v/>
      </c>
      <c r="E471" s="8"/>
      <c r="F471" s="8"/>
    </row>
    <row r="472" ht="15.75" customHeight="1">
      <c r="A472" s="9"/>
      <c r="B472" s="8"/>
      <c r="C472" s="8"/>
      <c r="D472" s="8" t="str">
        <f t="array" ref="D472">IF(C472="","",IFERROR(_xlfn.XLOOKUP(C472,Estoque!$A:$A,Estoque!$B:$B,""),""))</f>
        <v/>
      </c>
      <c r="E472" s="8"/>
      <c r="F472" s="8"/>
    </row>
    <row r="473" ht="15.75" customHeight="1">
      <c r="A473" s="9"/>
      <c r="B473" s="8"/>
      <c r="C473" s="8"/>
      <c r="D473" s="8" t="str">
        <f t="array" ref="D473">IF(C473="","",IFERROR(_xlfn.XLOOKUP(C473,Estoque!$A:$A,Estoque!$B:$B,""),""))</f>
        <v/>
      </c>
      <c r="E473" s="8"/>
      <c r="F473" s="8"/>
    </row>
    <row r="474" ht="15.75" customHeight="1">
      <c r="A474" s="9"/>
      <c r="B474" s="8"/>
      <c r="C474" s="8"/>
      <c r="D474" s="8" t="str">
        <f t="array" ref="D474">IF(C474="","",IFERROR(_xlfn.XLOOKUP(C474,Estoque!$A:$A,Estoque!$B:$B,""),""))</f>
        <v/>
      </c>
      <c r="E474" s="8"/>
      <c r="F474" s="8"/>
    </row>
    <row r="475" ht="15.75" customHeight="1">
      <c r="A475" s="9"/>
      <c r="B475" s="8"/>
      <c r="C475" s="8"/>
      <c r="D475" s="8" t="str">
        <f t="array" ref="D475">IF(C475="","",IFERROR(_xlfn.XLOOKUP(C475,Estoque!$A:$A,Estoque!$B:$B,""),""))</f>
        <v/>
      </c>
      <c r="E475" s="8"/>
      <c r="F475" s="8"/>
    </row>
    <row r="476" ht="15.75" customHeight="1">
      <c r="A476" s="9"/>
      <c r="B476" s="8"/>
      <c r="C476" s="8"/>
      <c r="D476" s="8" t="str">
        <f t="array" ref="D476">IF(C476="","",IFERROR(_xlfn.XLOOKUP(C476,Estoque!$A:$A,Estoque!$B:$B,""),""))</f>
        <v/>
      </c>
      <c r="E476" s="8"/>
      <c r="F476" s="8"/>
    </row>
    <row r="477" ht="15.75" customHeight="1">
      <c r="A477" s="9"/>
      <c r="B477" s="8"/>
      <c r="C477" s="8"/>
      <c r="D477" s="8" t="str">
        <f t="array" ref="D477">IF(C477="","",IFERROR(_xlfn.XLOOKUP(C477,Estoque!$A:$A,Estoque!$B:$B,""),""))</f>
        <v/>
      </c>
      <c r="E477" s="8"/>
      <c r="F477" s="8"/>
    </row>
    <row r="478" ht="15.75" customHeight="1">
      <c r="A478" s="9"/>
      <c r="B478" s="8"/>
      <c r="C478" s="8"/>
      <c r="D478" s="8" t="str">
        <f t="array" ref="D478">IF(C478="","",IFERROR(_xlfn.XLOOKUP(C478,Estoque!$A:$A,Estoque!$B:$B,""),""))</f>
        <v/>
      </c>
      <c r="E478" s="8"/>
      <c r="F478" s="8"/>
    </row>
    <row r="479" ht="15.75" customHeight="1">
      <c r="A479" s="9"/>
      <c r="B479" s="8"/>
      <c r="C479" s="8"/>
      <c r="D479" s="8" t="str">
        <f t="array" ref="D479">IF(C479="","",IFERROR(_xlfn.XLOOKUP(C479,Estoque!$A:$A,Estoque!$B:$B,""),""))</f>
        <v/>
      </c>
      <c r="E479" s="8"/>
      <c r="F479" s="8"/>
    </row>
    <row r="480" ht="15.75" customHeight="1">
      <c r="A480" s="9"/>
      <c r="B480" s="8"/>
      <c r="C480" s="8"/>
      <c r="D480" s="8" t="str">
        <f t="array" ref="D480">IF(C480="","",IFERROR(_xlfn.XLOOKUP(C480,Estoque!$A:$A,Estoque!$B:$B,""),""))</f>
        <v/>
      </c>
      <c r="E480" s="8"/>
      <c r="F480" s="8"/>
    </row>
    <row r="481" ht="15.75" customHeight="1">
      <c r="A481" s="9"/>
      <c r="B481" s="8"/>
      <c r="C481" s="8"/>
      <c r="D481" s="8" t="str">
        <f t="array" ref="D481">IF(C481="","",IFERROR(_xlfn.XLOOKUP(C481,Estoque!$A:$A,Estoque!$B:$B,""),""))</f>
        <v/>
      </c>
      <c r="E481" s="8"/>
      <c r="F481" s="8"/>
    </row>
    <row r="482" ht="15.75" customHeight="1">
      <c r="A482" s="9"/>
      <c r="B482" s="8"/>
      <c r="C482" s="8"/>
      <c r="D482" s="8" t="str">
        <f t="array" ref="D482">IF(C482="","",IFERROR(_xlfn.XLOOKUP(C482,Estoque!$A:$A,Estoque!$B:$B,""),""))</f>
        <v/>
      </c>
      <c r="E482" s="8"/>
      <c r="F482" s="8"/>
    </row>
    <row r="483" ht="15.75" customHeight="1">
      <c r="A483" s="9"/>
      <c r="B483" s="8"/>
      <c r="C483" s="8"/>
      <c r="D483" s="8" t="str">
        <f t="array" ref="D483">IF(C483="","",IFERROR(_xlfn.XLOOKUP(C483,Estoque!$A:$A,Estoque!$B:$B,""),""))</f>
        <v/>
      </c>
      <c r="E483" s="8"/>
      <c r="F483" s="8"/>
    </row>
    <row r="484" ht="15.75" customHeight="1">
      <c r="A484" s="9"/>
      <c r="B484" s="8"/>
      <c r="C484" s="8"/>
      <c r="D484" s="8" t="str">
        <f t="array" ref="D484">IF(C484="","",IFERROR(_xlfn.XLOOKUP(C484,Estoque!$A:$A,Estoque!$B:$B,""),""))</f>
        <v/>
      </c>
      <c r="E484" s="8"/>
      <c r="F484" s="8"/>
    </row>
    <row r="485" ht="15.75" customHeight="1">
      <c r="A485" s="9"/>
      <c r="B485" s="8"/>
      <c r="C485" s="8"/>
      <c r="D485" s="8" t="str">
        <f t="array" ref="D485">IF(C485="","",IFERROR(_xlfn.XLOOKUP(C485,Estoque!$A:$A,Estoque!$B:$B,""),""))</f>
        <v/>
      </c>
      <c r="E485" s="8"/>
      <c r="F485" s="8"/>
    </row>
    <row r="486" ht="15.75" customHeight="1">
      <c r="A486" s="9"/>
      <c r="B486" s="8"/>
      <c r="C486" s="8"/>
      <c r="D486" s="8" t="str">
        <f t="array" ref="D486">IF(C486="","",IFERROR(_xlfn.XLOOKUP(C486,Estoque!$A:$A,Estoque!$B:$B,""),""))</f>
        <v/>
      </c>
      <c r="E486" s="8"/>
      <c r="F486" s="8"/>
    </row>
    <row r="487" ht="15.75" customHeight="1">
      <c r="A487" s="9"/>
      <c r="B487" s="8"/>
      <c r="C487" s="8"/>
      <c r="D487" s="8" t="str">
        <f t="array" ref="D487">IF(C487="","",IFERROR(_xlfn.XLOOKUP(C487,Estoque!$A:$A,Estoque!$B:$B,""),""))</f>
        <v/>
      </c>
      <c r="E487" s="8"/>
      <c r="F487" s="8"/>
    </row>
    <row r="488" ht="15.75" customHeight="1">
      <c r="A488" s="9"/>
      <c r="B488" s="8"/>
      <c r="C488" s="8"/>
      <c r="D488" s="8" t="str">
        <f t="array" ref="D488">IF(C488="","",IFERROR(_xlfn.XLOOKUP(C488,Estoque!$A:$A,Estoque!$B:$B,""),""))</f>
        <v/>
      </c>
      <c r="E488" s="8"/>
      <c r="F488" s="8"/>
    </row>
    <row r="489" ht="15.75" customHeight="1">
      <c r="A489" s="9"/>
      <c r="B489" s="8"/>
      <c r="C489" s="8"/>
      <c r="D489" s="8" t="str">
        <f t="array" ref="D489">IF(C489="","",IFERROR(_xlfn.XLOOKUP(C489,Estoque!$A:$A,Estoque!$B:$B,""),""))</f>
        <v/>
      </c>
      <c r="E489" s="8"/>
      <c r="F489" s="8"/>
    </row>
    <row r="490" ht="15.75" customHeight="1">
      <c r="A490" s="9"/>
      <c r="B490" s="8"/>
      <c r="C490" s="8"/>
      <c r="D490" s="8" t="str">
        <f t="array" ref="D490">IF(C490="","",IFERROR(_xlfn.XLOOKUP(C490,Estoque!$A:$A,Estoque!$B:$B,""),""))</f>
        <v/>
      </c>
      <c r="E490" s="8"/>
      <c r="F490" s="8"/>
    </row>
    <row r="491" ht="15.75" customHeight="1">
      <c r="A491" s="9"/>
      <c r="B491" s="8"/>
      <c r="C491" s="8"/>
      <c r="D491" s="8" t="str">
        <f t="array" ref="D491">IF(C491="","",IFERROR(_xlfn.XLOOKUP(C491,Estoque!$A:$A,Estoque!$B:$B,""),""))</f>
        <v/>
      </c>
      <c r="E491" s="8"/>
      <c r="F491" s="8"/>
    </row>
    <row r="492" ht="15.75" customHeight="1">
      <c r="A492" s="9"/>
      <c r="B492" s="8"/>
      <c r="C492" s="8"/>
      <c r="D492" s="8" t="str">
        <f t="array" ref="D492">IF(C492="","",IFERROR(_xlfn.XLOOKUP(C492,Estoque!$A:$A,Estoque!$B:$B,""),""))</f>
        <v/>
      </c>
      <c r="E492" s="8"/>
      <c r="F492" s="8"/>
    </row>
    <row r="493" ht="15.75" customHeight="1">
      <c r="A493" s="9"/>
      <c r="B493" s="8"/>
      <c r="C493" s="8"/>
      <c r="D493" s="8" t="str">
        <f t="array" ref="D493">IF(C493="","",IFERROR(_xlfn.XLOOKUP(C493,Estoque!$A:$A,Estoque!$B:$B,""),""))</f>
        <v/>
      </c>
      <c r="E493" s="8"/>
      <c r="F493" s="8"/>
    </row>
    <row r="494" ht="15.75" customHeight="1">
      <c r="A494" s="9"/>
      <c r="B494" s="8"/>
      <c r="C494" s="8"/>
      <c r="D494" s="8" t="str">
        <f t="array" ref="D494">IF(C494="","",IFERROR(_xlfn.XLOOKUP(C494,Estoque!$A:$A,Estoque!$B:$B,""),""))</f>
        <v/>
      </c>
      <c r="E494" s="8"/>
      <c r="F494" s="8"/>
    </row>
    <row r="495" ht="15.75" customHeight="1">
      <c r="A495" s="9"/>
      <c r="B495" s="8"/>
      <c r="C495" s="8"/>
      <c r="D495" s="8" t="str">
        <f t="array" ref="D495">IF(C495="","",IFERROR(_xlfn.XLOOKUP(C495,Estoque!$A:$A,Estoque!$B:$B,""),""))</f>
        <v/>
      </c>
      <c r="E495" s="8"/>
      <c r="F495" s="8"/>
    </row>
    <row r="496" ht="15.75" customHeight="1">
      <c r="A496" s="9"/>
      <c r="B496" s="8"/>
      <c r="C496" s="8"/>
      <c r="D496" s="8" t="str">
        <f t="array" ref="D496">IF(C496="","",IFERROR(_xlfn.XLOOKUP(C496,Estoque!$A:$A,Estoque!$B:$B,""),""))</f>
        <v/>
      </c>
      <c r="E496" s="8"/>
      <c r="F496" s="8"/>
    </row>
    <row r="497" ht="15.75" customHeight="1">
      <c r="A497" s="9"/>
      <c r="B497" s="8"/>
      <c r="C497" s="8"/>
      <c r="D497" s="8" t="str">
        <f t="array" ref="D497">IF(C497="","",IFERROR(_xlfn.XLOOKUP(C497,Estoque!$A:$A,Estoque!$B:$B,""),""))</f>
        <v/>
      </c>
      <c r="E497" s="8"/>
      <c r="F497" s="8"/>
    </row>
    <row r="498" ht="15.75" customHeight="1">
      <c r="A498" s="9"/>
      <c r="B498" s="8"/>
      <c r="C498" s="8"/>
      <c r="D498" s="8" t="str">
        <f t="array" ref="D498">IF(C498="","",IFERROR(_xlfn.XLOOKUP(C498,Estoque!$A:$A,Estoque!$B:$B,""),""))</f>
        <v/>
      </c>
      <c r="E498" s="8"/>
      <c r="F498" s="8"/>
    </row>
    <row r="499" ht="15.75" customHeight="1">
      <c r="A499" s="9"/>
      <c r="B499" s="8"/>
      <c r="C499" s="8"/>
      <c r="D499" s="8" t="str">
        <f t="array" ref="D499">IF(C499="","",IFERROR(_xlfn.XLOOKUP(C499,Estoque!$A:$A,Estoque!$B:$B,""),""))</f>
        <v/>
      </c>
      <c r="E499" s="8"/>
      <c r="F499" s="8"/>
    </row>
    <row r="500" ht="15.75" customHeight="1">
      <c r="A500" s="9"/>
      <c r="B500" s="8"/>
      <c r="C500" s="8"/>
      <c r="D500" s="8" t="str">
        <f t="array" ref="D500">IF(C500="","",IFERROR(_xlfn.XLOOKUP(C500,Estoque!$A:$A,Estoque!$B:$B,""),""))</f>
        <v/>
      </c>
      <c r="E500" s="8"/>
      <c r="F500" s="8"/>
    </row>
    <row r="501" ht="15.75" customHeight="1">
      <c r="A501" s="9"/>
      <c r="B501" s="8"/>
      <c r="C501" s="8"/>
      <c r="D501" s="8" t="str">
        <f t="array" ref="D501">IF(C501="","",IFERROR(_xlfn.XLOOKUP(C501,Estoque!$A:$A,Estoque!$B:$B,""),""))</f>
        <v/>
      </c>
      <c r="E501" s="8"/>
      <c r="F501" s="8"/>
    </row>
    <row r="502" ht="15.75" customHeight="1">
      <c r="A502" s="9"/>
      <c r="B502" s="8"/>
      <c r="C502" s="8"/>
      <c r="D502" s="8" t="str">
        <f t="array" ref="D502">IF(C502="","",IFERROR(_xlfn.XLOOKUP(C502,Estoque!$A:$A,Estoque!$B:$B,""),""))</f>
        <v/>
      </c>
      <c r="E502" s="8"/>
      <c r="F502" s="8"/>
    </row>
    <row r="503" ht="15.75" customHeight="1">
      <c r="A503" s="9"/>
      <c r="B503" s="8"/>
      <c r="C503" s="8"/>
      <c r="D503" s="8" t="str">
        <f t="array" ref="D503">IF(C503="","",IFERROR(_xlfn.XLOOKUP(C503,Estoque!$A:$A,Estoque!$B:$B,""),""))</f>
        <v/>
      </c>
      <c r="E503" s="8"/>
      <c r="F503" s="8"/>
    </row>
    <row r="504" ht="15.75" customHeight="1">
      <c r="A504" s="9"/>
      <c r="B504" s="8"/>
      <c r="C504" s="8"/>
      <c r="D504" s="8" t="str">
        <f t="array" ref="D504">IF(C504="","",IFERROR(_xlfn.XLOOKUP(C504,Estoque!$A:$A,Estoque!$B:$B,""),""))</f>
        <v/>
      </c>
      <c r="E504" s="8"/>
      <c r="F504" s="8"/>
    </row>
    <row r="505" ht="15.75" customHeight="1">
      <c r="A505" s="9"/>
      <c r="B505" s="8"/>
      <c r="C505" s="8"/>
      <c r="D505" s="8" t="str">
        <f t="array" ref="D505">IF(C505="","",IFERROR(_xlfn.XLOOKUP(C505,Estoque!$A:$A,Estoque!$B:$B,""),""))</f>
        <v/>
      </c>
      <c r="E505" s="8"/>
      <c r="F505" s="8"/>
    </row>
    <row r="506" ht="15.75" customHeight="1">
      <c r="A506" s="9"/>
      <c r="B506" s="8"/>
      <c r="C506" s="8"/>
      <c r="D506" s="8" t="str">
        <f t="array" ref="D506">IF(C506="","",IFERROR(_xlfn.XLOOKUP(C506,Estoque!$A:$A,Estoque!$B:$B,""),""))</f>
        <v/>
      </c>
      <c r="E506" s="8"/>
      <c r="F506" s="8"/>
    </row>
    <row r="507" ht="15.75" customHeight="1">
      <c r="A507" s="9"/>
      <c r="B507" s="8"/>
      <c r="C507" s="8"/>
      <c r="D507" s="8" t="str">
        <f t="array" ref="D507">IF(C507="","",IFERROR(_xlfn.XLOOKUP(C507,Estoque!$A:$A,Estoque!$B:$B,""),""))</f>
        <v/>
      </c>
      <c r="E507" s="8"/>
      <c r="F507" s="8"/>
    </row>
    <row r="508" ht="15.75" customHeight="1">
      <c r="A508" s="9"/>
      <c r="B508" s="8"/>
      <c r="C508" s="8"/>
      <c r="D508" s="8" t="str">
        <f t="array" ref="D508">IF(C508="","",IFERROR(_xlfn.XLOOKUP(C508,Estoque!$A:$A,Estoque!$B:$B,""),""))</f>
        <v/>
      </c>
      <c r="E508" s="8"/>
      <c r="F508" s="8"/>
    </row>
    <row r="509" ht="15.75" customHeight="1">
      <c r="A509" s="9"/>
      <c r="B509" s="8"/>
      <c r="C509" s="8"/>
      <c r="D509" s="8" t="str">
        <f t="array" ref="D509">IF(C509="","",IFERROR(_xlfn.XLOOKUP(C509,Estoque!$A:$A,Estoque!$B:$B,""),""))</f>
        <v/>
      </c>
      <c r="E509" s="8"/>
      <c r="F509" s="8"/>
    </row>
    <row r="510" ht="15.75" customHeight="1">
      <c r="A510" s="9"/>
      <c r="B510" s="8"/>
      <c r="C510" s="8"/>
      <c r="D510" s="8" t="str">
        <f t="array" ref="D510">IF(C510="","",IFERROR(_xlfn.XLOOKUP(C510,Estoque!$A:$A,Estoque!$B:$B,""),""))</f>
        <v/>
      </c>
      <c r="E510" s="8"/>
      <c r="F510" s="8"/>
    </row>
    <row r="511" ht="15.75" customHeight="1">
      <c r="A511" s="9"/>
      <c r="B511" s="8"/>
      <c r="C511" s="8"/>
      <c r="D511" s="8" t="str">
        <f t="array" ref="D511">IF(C511="","",IFERROR(_xlfn.XLOOKUP(C511,Estoque!$A:$A,Estoque!$B:$B,""),""))</f>
        <v/>
      </c>
      <c r="E511" s="8"/>
      <c r="F511" s="8"/>
    </row>
    <row r="512" ht="15.75" customHeight="1">
      <c r="A512" s="9"/>
      <c r="B512" s="8"/>
      <c r="C512" s="8"/>
      <c r="D512" s="8" t="str">
        <f t="array" ref="D512">IF(C512="","",IFERROR(_xlfn.XLOOKUP(C512,Estoque!$A:$A,Estoque!$B:$B,""),""))</f>
        <v/>
      </c>
      <c r="E512" s="8"/>
      <c r="F512" s="8"/>
    </row>
    <row r="513" ht="15.75" customHeight="1">
      <c r="A513" s="9"/>
      <c r="B513" s="8"/>
      <c r="C513" s="8"/>
      <c r="D513" s="8" t="str">
        <f t="array" ref="D513">IF(C513="","",IFERROR(_xlfn.XLOOKUP(C513,Estoque!$A:$A,Estoque!$B:$B,""),""))</f>
        <v/>
      </c>
      <c r="E513" s="8"/>
      <c r="F513" s="8"/>
    </row>
    <row r="514" ht="15.75" customHeight="1">
      <c r="A514" s="9"/>
      <c r="B514" s="8"/>
      <c r="C514" s="8"/>
      <c r="D514" s="8" t="str">
        <f t="array" ref="D514">IF(C514="","",IFERROR(_xlfn.XLOOKUP(C514,Estoque!$A:$A,Estoque!$B:$B,""),""))</f>
        <v/>
      </c>
      <c r="E514" s="8"/>
      <c r="F514" s="8"/>
    </row>
    <row r="515" ht="15.75" customHeight="1">
      <c r="A515" s="9"/>
      <c r="B515" s="8"/>
      <c r="C515" s="8"/>
      <c r="D515" s="8" t="str">
        <f t="array" ref="D515">IF(C515="","",IFERROR(_xlfn.XLOOKUP(C515,Estoque!$A:$A,Estoque!$B:$B,""),""))</f>
        <v/>
      </c>
      <c r="E515" s="8"/>
      <c r="F515" s="8"/>
    </row>
    <row r="516" ht="15.75" customHeight="1">
      <c r="A516" s="9"/>
      <c r="B516" s="8"/>
      <c r="C516" s="8"/>
      <c r="D516" s="8" t="str">
        <f t="array" ref="D516">IF(C516="","",IFERROR(_xlfn.XLOOKUP(C516,Estoque!$A:$A,Estoque!$B:$B,""),""))</f>
        <v/>
      </c>
      <c r="E516" s="8"/>
      <c r="F516" s="8"/>
    </row>
    <row r="517" ht="15.75" customHeight="1">
      <c r="A517" s="9"/>
      <c r="B517" s="8"/>
      <c r="C517" s="8"/>
      <c r="D517" s="8" t="str">
        <f t="array" ref="D517">IF(C517="","",IFERROR(_xlfn.XLOOKUP(C517,Estoque!$A:$A,Estoque!$B:$B,""),""))</f>
        <v/>
      </c>
      <c r="E517" s="8"/>
      <c r="F517" s="8"/>
    </row>
    <row r="518" ht="15.75" customHeight="1">
      <c r="A518" s="9"/>
      <c r="B518" s="8"/>
      <c r="C518" s="8"/>
      <c r="D518" s="8" t="str">
        <f t="array" ref="D518">IF(C518="","",IFERROR(_xlfn.XLOOKUP(C518,Estoque!$A:$A,Estoque!$B:$B,""),""))</f>
        <v/>
      </c>
      <c r="E518" s="8"/>
      <c r="F518" s="8"/>
    </row>
    <row r="519" ht="15.75" customHeight="1">
      <c r="A519" s="9"/>
      <c r="B519" s="8"/>
      <c r="C519" s="8"/>
      <c r="D519" s="8" t="str">
        <f t="array" ref="D519">IF(C519="","",IFERROR(_xlfn.XLOOKUP(C519,Estoque!$A:$A,Estoque!$B:$B,""),""))</f>
        <v/>
      </c>
      <c r="E519" s="8"/>
      <c r="F519" s="8"/>
    </row>
    <row r="520" ht="15.75" customHeight="1">
      <c r="A520" s="9"/>
      <c r="B520" s="8"/>
      <c r="C520" s="8"/>
      <c r="D520" s="8" t="str">
        <f t="array" ref="D520">IF(C520="","",IFERROR(_xlfn.XLOOKUP(C520,Estoque!$A:$A,Estoque!$B:$B,""),""))</f>
        <v/>
      </c>
      <c r="E520" s="8"/>
      <c r="F520" s="8"/>
    </row>
    <row r="521" ht="15.75" customHeight="1">
      <c r="A521" s="9"/>
      <c r="B521" s="8"/>
      <c r="C521" s="8"/>
      <c r="D521" s="8" t="str">
        <f t="array" ref="D521">IF(C521="","",IFERROR(_xlfn.XLOOKUP(C521,Estoque!$A:$A,Estoque!$B:$B,""),""))</f>
        <v/>
      </c>
      <c r="E521" s="8"/>
      <c r="F521" s="8"/>
    </row>
    <row r="522" ht="15.75" customHeight="1">
      <c r="A522" s="9"/>
      <c r="B522" s="8"/>
      <c r="C522" s="8"/>
      <c r="D522" s="8" t="str">
        <f t="array" ref="D522">IF(C522="","",IFERROR(_xlfn.XLOOKUP(C522,Estoque!$A:$A,Estoque!$B:$B,""),""))</f>
        <v/>
      </c>
      <c r="E522" s="8"/>
      <c r="F522" s="8"/>
    </row>
    <row r="523" ht="15.75" customHeight="1">
      <c r="A523" s="9"/>
      <c r="B523" s="8"/>
      <c r="C523" s="8"/>
      <c r="D523" s="8" t="str">
        <f t="array" ref="D523">IF(C523="","",IFERROR(_xlfn.XLOOKUP(C523,Estoque!$A:$A,Estoque!$B:$B,""),""))</f>
        <v/>
      </c>
      <c r="E523" s="8"/>
      <c r="F523" s="8"/>
    </row>
    <row r="524" ht="15.75" customHeight="1">
      <c r="A524" s="9"/>
      <c r="B524" s="8"/>
      <c r="C524" s="8"/>
      <c r="D524" s="8" t="str">
        <f t="array" ref="D524">IF(C524="","",IFERROR(_xlfn.XLOOKUP(C524,Estoque!$A:$A,Estoque!$B:$B,""),""))</f>
        <v/>
      </c>
      <c r="E524" s="8"/>
      <c r="F524" s="8"/>
    </row>
    <row r="525" ht="15.75" customHeight="1">
      <c r="A525" s="9"/>
      <c r="B525" s="8"/>
      <c r="C525" s="8"/>
      <c r="D525" s="8" t="str">
        <f t="array" ref="D525">IF(C525="","",IFERROR(_xlfn.XLOOKUP(C525,Estoque!$A:$A,Estoque!$B:$B,""),""))</f>
        <v/>
      </c>
      <c r="E525" s="8"/>
      <c r="F525" s="8"/>
    </row>
    <row r="526" ht="15.75" customHeight="1">
      <c r="A526" s="9"/>
      <c r="B526" s="8"/>
      <c r="C526" s="8"/>
      <c r="D526" s="8" t="str">
        <f t="array" ref="D526">IF(C526="","",IFERROR(_xlfn.XLOOKUP(C526,Estoque!$A:$A,Estoque!$B:$B,""),""))</f>
        <v/>
      </c>
      <c r="E526" s="8"/>
      <c r="F526" s="8"/>
    </row>
    <row r="527" ht="15.75" customHeight="1">
      <c r="A527" s="9"/>
      <c r="B527" s="8"/>
      <c r="C527" s="8"/>
      <c r="D527" s="8" t="str">
        <f t="array" ref="D527">IF(C527="","",IFERROR(_xlfn.XLOOKUP(C527,Estoque!$A:$A,Estoque!$B:$B,""),""))</f>
        <v/>
      </c>
      <c r="E527" s="8"/>
      <c r="F527" s="8"/>
    </row>
    <row r="528" ht="15.75" customHeight="1">
      <c r="A528" s="9"/>
      <c r="B528" s="8"/>
      <c r="C528" s="8"/>
      <c r="D528" s="8" t="str">
        <f t="array" ref="D528">IF(C528="","",IFERROR(_xlfn.XLOOKUP(C528,Estoque!$A:$A,Estoque!$B:$B,""),""))</f>
        <v/>
      </c>
      <c r="E528" s="8"/>
      <c r="F528" s="8"/>
    </row>
    <row r="529" ht="15.75" customHeight="1">
      <c r="A529" s="9"/>
      <c r="B529" s="8"/>
      <c r="C529" s="8"/>
      <c r="D529" s="8" t="str">
        <f t="array" ref="D529">IF(C529="","",IFERROR(_xlfn.XLOOKUP(C529,Estoque!$A:$A,Estoque!$B:$B,""),""))</f>
        <v/>
      </c>
      <c r="E529" s="8"/>
      <c r="F529" s="8"/>
    </row>
    <row r="530" ht="15.75" customHeight="1">
      <c r="A530" s="9"/>
      <c r="B530" s="8"/>
      <c r="C530" s="8"/>
      <c r="D530" s="8" t="str">
        <f t="array" ref="D530">IF(C530="","",IFERROR(_xlfn.XLOOKUP(C530,Estoque!$A:$A,Estoque!$B:$B,""),""))</f>
        <v/>
      </c>
      <c r="E530" s="8"/>
      <c r="F530" s="8"/>
    </row>
    <row r="531" ht="15.75" customHeight="1">
      <c r="A531" s="9"/>
      <c r="B531" s="8"/>
      <c r="C531" s="8"/>
      <c r="D531" s="8" t="str">
        <f t="array" ref="D531">IF(C531="","",IFERROR(_xlfn.XLOOKUP(C531,Estoque!$A:$A,Estoque!$B:$B,""),""))</f>
        <v/>
      </c>
      <c r="E531" s="8"/>
      <c r="F531" s="8"/>
    </row>
    <row r="532" ht="15.75" customHeight="1">
      <c r="A532" s="9"/>
      <c r="B532" s="8"/>
      <c r="C532" s="8"/>
      <c r="D532" s="8" t="str">
        <f t="array" ref="D532">IF(C532="","",IFERROR(_xlfn.XLOOKUP(C532,Estoque!$A:$A,Estoque!$B:$B,""),""))</f>
        <v/>
      </c>
      <c r="E532" s="8"/>
      <c r="F532" s="8"/>
    </row>
    <row r="533" ht="15.75" customHeight="1">
      <c r="A533" s="9"/>
      <c r="B533" s="8"/>
      <c r="C533" s="8"/>
      <c r="D533" s="8" t="str">
        <f t="array" ref="D533">IF(C533="","",IFERROR(_xlfn.XLOOKUP(C533,Estoque!$A:$A,Estoque!$B:$B,""),""))</f>
        <v/>
      </c>
      <c r="E533" s="8"/>
      <c r="F533" s="8"/>
    </row>
    <row r="534" ht="15.75" customHeight="1">
      <c r="A534" s="9"/>
      <c r="B534" s="8"/>
      <c r="C534" s="8"/>
      <c r="D534" s="8" t="str">
        <f t="array" ref="D534">IF(C534="","",IFERROR(_xlfn.XLOOKUP(C534,Estoque!$A:$A,Estoque!$B:$B,""),""))</f>
        <v/>
      </c>
      <c r="E534" s="8"/>
      <c r="F534" s="8"/>
    </row>
    <row r="535" ht="15.75" customHeight="1">
      <c r="A535" s="9"/>
      <c r="B535" s="8"/>
      <c r="C535" s="8"/>
      <c r="D535" s="8" t="str">
        <f t="array" ref="D535">IF(C535="","",IFERROR(_xlfn.XLOOKUP(C535,Estoque!$A:$A,Estoque!$B:$B,""),""))</f>
        <v/>
      </c>
      <c r="E535" s="8"/>
      <c r="F535" s="8"/>
    </row>
    <row r="536" ht="15.75" customHeight="1">
      <c r="A536" s="9"/>
      <c r="B536" s="8"/>
      <c r="C536" s="8"/>
      <c r="D536" s="8" t="str">
        <f t="array" ref="D536">IF(C536="","",IFERROR(_xlfn.XLOOKUP(C536,Estoque!$A:$A,Estoque!$B:$B,""),""))</f>
        <v/>
      </c>
      <c r="E536" s="8"/>
      <c r="F536" s="8"/>
    </row>
    <row r="537" ht="15.75" customHeight="1">
      <c r="A537" s="9"/>
      <c r="B537" s="8"/>
      <c r="C537" s="8"/>
      <c r="D537" s="8" t="str">
        <f t="array" ref="D537">IF(C537="","",IFERROR(_xlfn.XLOOKUP(C537,Estoque!$A:$A,Estoque!$B:$B,""),""))</f>
        <v/>
      </c>
      <c r="E537" s="8"/>
      <c r="F537" s="8"/>
    </row>
    <row r="538" ht="15.75" customHeight="1">
      <c r="A538" s="9"/>
      <c r="B538" s="8"/>
      <c r="C538" s="8"/>
      <c r="D538" s="8" t="str">
        <f t="array" ref="D538">IF(C538="","",IFERROR(_xlfn.XLOOKUP(C538,Estoque!$A:$A,Estoque!$B:$B,""),""))</f>
        <v/>
      </c>
      <c r="E538" s="8"/>
      <c r="F538" s="8"/>
    </row>
    <row r="539" ht="15.75" customHeight="1">
      <c r="A539" s="9"/>
      <c r="B539" s="8"/>
      <c r="C539" s="8"/>
      <c r="D539" s="8" t="str">
        <f t="array" ref="D539">IF(C539="","",IFERROR(_xlfn.XLOOKUP(C539,Estoque!$A:$A,Estoque!$B:$B,""),""))</f>
        <v/>
      </c>
      <c r="E539" s="8"/>
      <c r="F539" s="8"/>
    </row>
    <row r="540" ht="15.75" customHeight="1">
      <c r="A540" s="9"/>
      <c r="B540" s="8"/>
      <c r="C540" s="8"/>
      <c r="D540" s="8" t="str">
        <f t="array" ref="D540">IF(C540="","",IFERROR(_xlfn.XLOOKUP(C540,Estoque!$A:$A,Estoque!$B:$B,""),""))</f>
        <v/>
      </c>
      <c r="E540" s="8"/>
      <c r="F540" s="8"/>
    </row>
    <row r="541" ht="15.75" customHeight="1">
      <c r="A541" s="9"/>
      <c r="B541" s="8"/>
      <c r="C541" s="8"/>
      <c r="D541" s="8" t="str">
        <f t="array" ref="D541">IF(C541="","",IFERROR(_xlfn.XLOOKUP(C541,Estoque!$A:$A,Estoque!$B:$B,""),""))</f>
        <v/>
      </c>
      <c r="E541" s="8"/>
      <c r="F541" s="8"/>
    </row>
    <row r="542" ht="15.75" customHeight="1">
      <c r="A542" s="9"/>
      <c r="B542" s="8"/>
      <c r="C542" s="8"/>
      <c r="D542" s="8" t="str">
        <f t="array" ref="D542">IF(C542="","",IFERROR(_xlfn.XLOOKUP(C542,Estoque!$A:$A,Estoque!$B:$B,""),""))</f>
        <v/>
      </c>
      <c r="E542" s="8"/>
      <c r="F542" s="8"/>
    </row>
    <row r="543" ht="15.75" customHeight="1">
      <c r="A543" s="9"/>
      <c r="B543" s="8"/>
      <c r="C543" s="8"/>
      <c r="D543" s="8" t="str">
        <f t="array" ref="D543">IF(C543="","",IFERROR(_xlfn.XLOOKUP(C543,Estoque!$A:$A,Estoque!$B:$B,""),""))</f>
        <v/>
      </c>
      <c r="E543" s="8"/>
      <c r="F543" s="8"/>
    </row>
    <row r="544" ht="15.75" customHeight="1">
      <c r="A544" s="9"/>
      <c r="B544" s="8"/>
      <c r="C544" s="8"/>
      <c r="D544" s="8" t="str">
        <f t="array" ref="D544">IF(C544="","",IFERROR(_xlfn.XLOOKUP(C544,Estoque!$A:$A,Estoque!$B:$B,""),""))</f>
        <v/>
      </c>
      <c r="E544" s="8"/>
      <c r="F544" s="8"/>
    </row>
    <row r="545" ht="15.75" customHeight="1">
      <c r="A545" s="9"/>
      <c r="B545" s="8"/>
      <c r="C545" s="8"/>
      <c r="D545" s="8" t="str">
        <f t="array" ref="D545">IF(C545="","",IFERROR(_xlfn.XLOOKUP(C545,Estoque!$A:$A,Estoque!$B:$B,""),""))</f>
        <v/>
      </c>
      <c r="E545" s="8"/>
      <c r="F545" s="8"/>
    </row>
    <row r="546" ht="15.75" customHeight="1">
      <c r="A546" s="9"/>
      <c r="B546" s="8"/>
      <c r="C546" s="8"/>
      <c r="D546" s="8" t="str">
        <f t="array" ref="D546">IF(C546="","",IFERROR(_xlfn.XLOOKUP(C546,Estoque!$A:$A,Estoque!$B:$B,""),""))</f>
        <v/>
      </c>
      <c r="E546" s="8"/>
      <c r="F546" s="8"/>
    </row>
    <row r="547" ht="15.75" customHeight="1">
      <c r="A547" s="9"/>
      <c r="B547" s="8"/>
      <c r="C547" s="8"/>
      <c r="D547" s="8" t="str">
        <f t="array" ref="D547">IF(C547="","",IFERROR(_xlfn.XLOOKUP(C547,Estoque!$A:$A,Estoque!$B:$B,""),""))</f>
        <v/>
      </c>
      <c r="E547" s="8"/>
      <c r="F547" s="8"/>
    </row>
    <row r="548" ht="15.75" customHeight="1">
      <c r="A548" s="9"/>
      <c r="B548" s="8"/>
      <c r="C548" s="8"/>
      <c r="D548" s="8" t="str">
        <f t="array" ref="D548">IF(C548="","",IFERROR(_xlfn.XLOOKUP(C548,Estoque!$A:$A,Estoque!$B:$B,""),""))</f>
        <v/>
      </c>
      <c r="E548" s="8"/>
      <c r="F548" s="8"/>
    </row>
    <row r="549" ht="15.75" customHeight="1">
      <c r="A549" s="9"/>
      <c r="B549" s="8"/>
      <c r="C549" s="8"/>
      <c r="D549" s="8" t="str">
        <f t="array" ref="D549">IF(C549="","",IFERROR(_xlfn.XLOOKUP(C549,Estoque!$A:$A,Estoque!$B:$B,""),""))</f>
        <v/>
      </c>
      <c r="E549" s="8"/>
      <c r="F549" s="8"/>
    </row>
    <row r="550" ht="15.75" customHeight="1">
      <c r="A550" s="9"/>
      <c r="B550" s="8"/>
      <c r="C550" s="8"/>
      <c r="D550" s="8" t="str">
        <f t="array" ref="D550">IF(C550="","",IFERROR(_xlfn.XLOOKUP(C550,Estoque!$A:$A,Estoque!$B:$B,""),""))</f>
        <v/>
      </c>
      <c r="E550" s="8"/>
      <c r="F550" s="8"/>
    </row>
    <row r="551" ht="15.75" customHeight="1">
      <c r="A551" s="9"/>
      <c r="B551" s="8"/>
      <c r="C551" s="8"/>
      <c r="D551" s="8" t="str">
        <f t="array" ref="D551">IF(C551="","",IFERROR(_xlfn.XLOOKUP(C551,Estoque!$A:$A,Estoque!$B:$B,""),""))</f>
        <v/>
      </c>
      <c r="E551" s="8"/>
      <c r="F551" s="8"/>
    </row>
    <row r="552" ht="15.75" customHeight="1">
      <c r="A552" s="9"/>
      <c r="B552" s="8"/>
      <c r="C552" s="8"/>
      <c r="D552" s="8" t="str">
        <f t="array" ref="D552">IF(C552="","",IFERROR(_xlfn.XLOOKUP(C552,Estoque!$A:$A,Estoque!$B:$B,""),""))</f>
        <v/>
      </c>
      <c r="E552" s="8"/>
      <c r="F552" s="8"/>
    </row>
    <row r="553" ht="15.75" customHeight="1">
      <c r="A553" s="9"/>
      <c r="B553" s="8"/>
      <c r="C553" s="8"/>
      <c r="D553" s="8" t="str">
        <f t="array" ref="D553">IF(C553="","",IFERROR(_xlfn.XLOOKUP(C553,Estoque!$A:$A,Estoque!$B:$B,""),""))</f>
        <v/>
      </c>
      <c r="E553" s="8"/>
      <c r="F553" s="8"/>
    </row>
    <row r="554" ht="15.75" customHeight="1">
      <c r="A554" s="9"/>
      <c r="B554" s="8"/>
      <c r="C554" s="8"/>
      <c r="D554" s="8" t="str">
        <f t="array" ref="D554">IF(C554="","",IFERROR(_xlfn.XLOOKUP(C554,Estoque!$A:$A,Estoque!$B:$B,""),""))</f>
        <v/>
      </c>
      <c r="E554" s="8"/>
      <c r="F554" s="8"/>
    </row>
    <row r="555" ht="15.75" customHeight="1">
      <c r="A555" s="9"/>
      <c r="B555" s="8"/>
      <c r="C555" s="8"/>
      <c r="D555" s="8" t="str">
        <f t="array" ref="D555">IF(C555="","",IFERROR(_xlfn.XLOOKUP(C555,Estoque!$A:$A,Estoque!$B:$B,""),""))</f>
        <v/>
      </c>
      <c r="E555" s="8"/>
      <c r="F555" s="8"/>
    </row>
    <row r="556" ht="15.75" customHeight="1">
      <c r="A556" s="9"/>
      <c r="B556" s="8"/>
      <c r="C556" s="8"/>
      <c r="D556" s="8" t="str">
        <f t="array" ref="D556">IF(C556="","",IFERROR(_xlfn.XLOOKUP(C556,Estoque!$A:$A,Estoque!$B:$B,""),""))</f>
        <v/>
      </c>
      <c r="E556" s="8"/>
      <c r="F556" s="8"/>
    </row>
    <row r="557" ht="15.75" customHeight="1">
      <c r="A557" s="9"/>
      <c r="B557" s="8"/>
      <c r="C557" s="8"/>
      <c r="D557" s="8" t="str">
        <f t="array" ref="D557">IF(C557="","",IFERROR(_xlfn.XLOOKUP(C557,Estoque!$A:$A,Estoque!$B:$B,""),""))</f>
        <v/>
      </c>
      <c r="E557" s="8"/>
      <c r="F557" s="8"/>
    </row>
    <row r="558" ht="15.75" customHeight="1">
      <c r="A558" s="9"/>
      <c r="B558" s="8"/>
      <c r="C558" s="8"/>
      <c r="D558" s="8" t="str">
        <f t="array" ref="D558">IF(C558="","",IFERROR(_xlfn.XLOOKUP(C558,Estoque!$A:$A,Estoque!$B:$B,""),""))</f>
        <v/>
      </c>
      <c r="E558" s="8"/>
      <c r="F558" s="8"/>
    </row>
    <row r="559" ht="15.75" customHeight="1">
      <c r="A559" s="9"/>
      <c r="B559" s="8"/>
      <c r="C559" s="8"/>
      <c r="D559" s="8" t="str">
        <f t="array" ref="D559">IF(C559="","",IFERROR(_xlfn.XLOOKUP(C559,Estoque!$A:$A,Estoque!$B:$B,""),""))</f>
        <v/>
      </c>
      <c r="E559" s="8"/>
      <c r="F559" s="8"/>
    </row>
    <row r="560" ht="15.75" customHeight="1">
      <c r="A560" s="9"/>
      <c r="B560" s="8"/>
      <c r="C560" s="8"/>
      <c r="D560" s="8" t="str">
        <f t="array" ref="D560">IF(C560="","",IFERROR(_xlfn.XLOOKUP(C560,Estoque!$A:$A,Estoque!$B:$B,""),""))</f>
        <v/>
      </c>
      <c r="E560" s="8"/>
      <c r="F560" s="8"/>
    </row>
    <row r="561" ht="15.75" customHeight="1">
      <c r="A561" s="9"/>
      <c r="B561" s="8"/>
      <c r="C561" s="8"/>
      <c r="D561" s="8" t="str">
        <f t="array" ref="D561">IF(C561="","",IFERROR(_xlfn.XLOOKUP(C561,Estoque!$A:$A,Estoque!$B:$B,""),""))</f>
        <v/>
      </c>
      <c r="E561" s="8"/>
      <c r="F561" s="8"/>
    </row>
    <row r="562" ht="15.75" customHeight="1">
      <c r="A562" s="9"/>
      <c r="B562" s="8"/>
      <c r="C562" s="8"/>
      <c r="D562" s="8" t="str">
        <f t="array" ref="D562">IF(C562="","",IFERROR(_xlfn.XLOOKUP(C562,Estoque!$A:$A,Estoque!$B:$B,""),""))</f>
        <v/>
      </c>
      <c r="E562" s="8"/>
      <c r="F562" s="8"/>
    </row>
    <row r="563" ht="15.75" customHeight="1">
      <c r="A563" s="9"/>
      <c r="B563" s="8"/>
      <c r="C563" s="8"/>
      <c r="D563" s="8" t="str">
        <f t="array" ref="D563">IF(C563="","",IFERROR(_xlfn.XLOOKUP(C563,Estoque!$A:$A,Estoque!$B:$B,""),""))</f>
        <v/>
      </c>
      <c r="E563" s="8"/>
      <c r="F563" s="8"/>
    </row>
    <row r="564" ht="15.75" customHeight="1">
      <c r="A564" s="9"/>
      <c r="B564" s="8"/>
      <c r="C564" s="8"/>
      <c r="D564" s="8" t="str">
        <f t="array" ref="D564">IF(C564="","",IFERROR(_xlfn.XLOOKUP(C564,Estoque!$A:$A,Estoque!$B:$B,""),""))</f>
        <v/>
      </c>
      <c r="E564" s="8"/>
      <c r="F564" s="8"/>
    </row>
    <row r="565" ht="15.75" customHeight="1">
      <c r="A565" s="9"/>
      <c r="B565" s="8"/>
      <c r="C565" s="8"/>
      <c r="D565" s="8" t="str">
        <f t="array" ref="D565">IF(C565="","",IFERROR(_xlfn.XLOOKUP(C565,Estoque!$A:$A,Estoque!$B:$B,""),""))</f>
        <v/>
      </c>
      <c r="E565" s="8"/>
      <c r="F565" s="8"/>
    </row>
    <row r="566" ht="15.75" customHeight="1">
      <c r="A566" s="9"/>
      <c r="B566" s="8"/>
      <c r="C566" s="8"/>
      <c r="D566" s="8" t="str">
        <f t="array" ref="D566">IF(C566="","",IFERROR(_xlfn.XLOOKUP(C566,Estoque!$A:$A,Estoque!$B:$B,""),""))</f>
        <v/>
      </c>
      <c r="E566" s="8"/>
      <c r="F566" s="8"/>
    </row>
    <row r="567" ht="15.75" customHeight="1">
      <c r="A567" s="9"/>
      <c r="B567" s="8"/>
      <c r="C567" s="8"/>
      <c r="D567" s="8" t="str">
        <f t="array" ref="D567">IF(C567="","",IFERROR(_xlfn.XLOOKUP(C567,Estoque!$A:$A,Estoque!$B:$B,""),""))</f>
        <v/>
      </c>
      <c r="E567" s="8"/>
      <c r="F567" s="8"/>
    </row>
    <row r="568" ht="15.75" customHeight="1">
      <c r="A568" s="9"/>
      <c r="B568" s="8"/>
      <c r="C568" s="8"/>
      <c r="D568" s="8" t="str">
        <f t="array" ref="D568">IF(C568="","",IFERROR(_xlfn.XLOOKUP(C568,Estoque!$A:$A,Estoque!$B:$B,""),""))</f>
        <v/>
      </c>
      <c r="E568" s="8"/>
      <c r="F568" s="8"/>
    </row>
    <row r="569" ht="15.75" customHeight="1">
      <c r="A569" s="9"/>
      <c r="B569" s="8"/>
      <c r="C569" s="8"/>
      <c r="D569" s="8" t="str">
        <f t="array" ref="D569">IF(C569="","",IFERROR(_xlfn.XLOOKUP(C569,Estoque!$A:$A,Estoque!$B:$B,""),""))</f>
        <v/>
      </c>
      <c r="E569" s="8"/>
      <c r="F569" s="8"/>
    </row>
    <row r="570" ht="15.75" customHeight="1">
      <c r="A570" s="9"/>
      <c r="B570" s="8"/>
      <c r="C570" s="8"/>
      <c r="D570" s="8" t="str">
        <f t="array" ref="D570">IF(C570="","",IFERROR(_xlfn.XLOOKUP(C570,Estoque!$A:$A,Estoque!$B:$B,""),""))</f>
        <v/>
      </c>
      <c r="E570" s="8"/>
      <c r="F570" s="8"/>
    </row>
    <row r="571" ht="15.75" customHeight="1">
      <c r="A571" s="9"/>
      <c r="B571" s="8"/>
      <c r="C571" s="8"/>
      <c r="D571" s="8" t="str">
        <f t="array" ref="D571">IF(C571="","",IFERROR(_xlfn.XLOOKUP(C571,Estoque!$A:$A,Estoque!$B:$B,""),""))</f>
        <v/>
      </c>
      <c r="E571" s="8"/>
      <c r="F571" s="8"/>
    </row>
    <row r="572" ht="15.75" customHeight="1">
      <c r="A572" s="9"/>
      <c r="B572" s="8"/>
      <c r="C572" s="8"/>
      <c r="D572" s="8" t="str">
        <f t="array" ref="D572">IF(C572="","",IFERROR(_xlfn.XLOOKUP(C572,Estoque!$A:$A,Estoque!$B:$B,""),""))</f>
        <v/>
      </c>
      <c r="E572" s="8"/>
      <c r="F572" s="8"/>
    </row>
    <row r="573" ht="15.75" customHeight="1">
      <c r="A573" s="9"/>
      <c r="B573" s="8"/>
      <c r="C573" s="8"/>
      <c r="D573" s="8" t="str">
        <f t="array" ref="D573">IF(C573="","",IFERROR(_xlfn.XLOOKUP(C573,Estoque!$A:$A,Estoque!$B:$B,""),""))</f>
        <v/>
      </c>
      <c r="E573" s="8"/>
      <c r="F573" s="8"/>
    </row>
    <row r="574" ht="15.75" customHeight="1">
      <c r="A574" s="9"/>
      <c r="B574" s="8"/>
      <c r="C574" s="8"/>
      <c r="D574" s="8" t="str">
        <f t="array" ref="D574">IF(C574="","",IFERROR(_xlfn.XLOOKUP(C574,Estoque!$A:$A,Estoque!$B:$B,""),""))</f>
        <v/>
      </c>
      <c r="E574" s="8"/>
      <c r="F574" s="8"/>
    </row>
    <row r="575" ht="15.75" customHeight="1">
      <c r="A575" s="9"/>
      <c r="B575" s="8"/>
      <c r="C575" s="8"/>
      <c r="D575" s="8" t="str">
        <f t="array" ref="D575">IF(C575="","",IFERROR(_xlfn.XLOOKUP(C575,Estoque!$A:$A,Estoque!$B:$B,""),""))</f>
        <v/>
      </c>
      <c r="E575" s="8"/>
      <c r="F575" s="8"/>
    </row>
    <row r="576" ht="15.75" customHeight="1">
      <c r="A576" s="9"/>
      <c r="B576" s="8"/>
      <c r="C576" s="8"/>
      <c r="D576" s="8" t="str">
        <f t="array" ref="D576">IF(C576="","",IFERROR(_xlfn.XLOOKUP(C576,Estoque!$A:$A,Estoque!$B:$B,""),""))</f>
        <v/>
      </c>
      <c r="E576" s="8"/>
      <c r="F576" s="8"/>
    </row>
    <row r="577" ht="15.75" customHeight="1">
      <c r="A577" s="9"/>
      <c r="B577" s="8"/>
      <c r="C577" s="8"/>
      <c r="D577" s="8" t="str">
        <f t="array" ref="D577">IF(C577="","",IFERROR(_xlfn.XLOOKUP(C577,Estoque!$A:$A,Estoque!$B:$B,""),""))</f>
        <v/>
      </c>
      <c r="E577" s="8"/>
      <c r="F577" s="8"/>
    </row>
    <row r="578" ht="15.75" customHeight="1">
      <c r="A578" s="9"/>
      <c r="B578" s="8"/>
      <c r="C578" s="8"/>
      <c r="D578" s="8" t="str">
        <f t="array" ref="D578">IF(C578="","",IFERROR(_xlfn.XLOOKUP(C578,Estoque!$A:$A,Estoque!$B:$B,""),""))</f>
        <v/>
      </c>
      <c r="E578" s="8"/>
      <c r="F578" s="8"/>
    </row>
    <row r="579" ht="15.75" customHeight="1">
      <c r="A579" s="9"/>
      <c r="B579" s="8"/>
      <c r="C579" s="8"/>
      <c r="D579" s="8" t="str">
        <f t="array" ref="D579">IF(C579="","",IFERROR(_xlfn.XLOOKUP(C579,Estoque!$A:$A,Estoque!$B:$B,""),""))</f>
        <v/>
      </c>
      <c r="E579" s="8"/>
      <c r="F579" s="8"/>
    </row>
    <row r="580" ht="15.75" customHeight="1">
      <c r="A580" s="9"/>
      <c r="B580" s="8"/>
      <c r="C580" s="8"/>
      <c r="D580" s="8" t="str">
        <f t="array" ref="D580">IF(C580="","",IFERROR(_xlfn.XLOOKUP(C580,Estoque!$A:$A,Estoque!$B:$B,""),""))</f>
        <v/>
      </c>
      <c r="E580" s="8"/>
      <c r="F580" s="8"/>
    </row>
    <row r="581" ht="15.75" customHeight="1">
      <c r="A581" s="9"/>
      <c r="B581" s="8"/>
      <c r="C581" s="8"/>
      <c r="D581" s="8" t="str">
        <f t="array" ref="D581">IF(C581="","",IFERROR(_xlfn.XLOOKUP(C581,Estoque!$A:$A,Estoque!$B:$B,""),""))</f>
        <v/>
      </c>
      <c r="E581" s="8"/>
      <c r="F581" s="8"/>
    </row>
    <row r="582" ht="15.75" customHeight="1">
      <c r="A582" s="9"/>
      <c r="B582" s="8"/>
      <c r="C582" s="8"/>
      <c r="D582" s="8" t="str">
        <f t="array" ref="D582">IF(C582="","",IFERROR(_xlfn.XLOOKUP(C582,Estoque!$A:$A,Estoque!$B:$B,""),""))</f>
        <v/>
      </c>
      <c r="E582" s="8"/>
      <c r="F582" s="8"/>
    </row>
    <row r="583" ht="15.75" customHeight="1">
      <c r="A583" s="9"/>
      <c r="B583" s="8"/>
      <c r="C583" s="8"/>
      <c r="D583" s="8" t="str">
        <f t="array" ref="D583">IF(C583="","",IFERROR(_xlfn.XLOOKUP(C583,Estoque!$A:$A,Estoque!$B:$B,""),""))</f>
        <v/>
      </c>
      <c r="E583" s="8"/>
      <c r="F583" s="8"/>
    </row>
    <row r="584" ht="15.75" customHeight="1">
      <c r="A584" s="9"/>
      <c r="B584" s="8"/>
      <c r="C584" s="8"/>
      <c r="D584" s="8" t="str">
        <f t="array" ref="D584">IF(C584="","",IFERROR(_xlfn.XLOOKUP(C584,Estoque!$A:$A,Estoque!$B:$B,""),""))</f>
        <v/>
      </c>
      <c r="E584" s="8"/>
      <c r="F584" s="8"/>
    </row>
    <row r="585" ht="15.75" customHeight="1">
      <c r="A585" s="9"/>
      <c r="B585" s="8"/>
      <c r="C585" s="8"/>
      <c r="D585" s="8" t="str">
        <f t="array" ref="D585">IF(C585="","",IFERROR(_xlfn.XLOOKUP(C585,Estoque!$A:$A,Estoque!$B:$B,""),""))</f>
        <v/>
      </c>
      <c r="E585" s="8"/>
      <c r="F585" s="8"/>
    </row>
    <row r="586" ht="15.75" customHeight="1">
      <c r="A586" s="9"/>
      <c r="B586" s="8"/>
      <c r="C586" s="8"/>
      <c r="D586" s="8" t="str">
        <f t="array" ref="D586">IF(C586="","",IFERROR(_xlfn.XLOOKUP(C586,Estoque!$A:$A,Estoque!$B:$B,""),""))</f>
        <v/>
      </c>
      <c r="E586" s="8"/>
      <c r="F586" s="8"/>
    </row>
    <row r="587" ht="15.75" customHeight="1">
      <c r="A587" s="9"/>
      <c r="B587" s="8"/>
      <c r="C587" s="8"/>
      <c r="D587" s="8" t="str">
        <f t="array" ref="D587">IF(C587="","",IFERROR(_xlfn.XLOOKUP(C587,Estoque!$A:$A,Estoque!$B:$B,""),""))</f>
        <v/>
      </c>
      <c r="E587" s="8"/>
      <c r="F587" s="8"/>
    </row>
    <row r="588" ht="15.75" customHeight="1">
      <c r="A588" s="9"/>
      <c r="B588" s="8"/>
      <c r="C588" s="8"/>
      <c r="D588" s="8" t="str">
        <f t="array" ref="D588">IF(C588="","",IFERROR(_xlfn.XLOOKUP(C588,Estoque!$A:$A,Estoque!$B:$B,""),""))</f>
        <v/>
      </c>
      <c r="E588" s="8"/>
      <c r="F588" s="8"/>
    </row>
    <row r="589" ht="15.75" customHeight="1">
      <c r="A589" s="9"/>
      <c r="B589" s="8"/>
      <c r="C589" s="8"/>
      <c r="D589" s="8" t="str">
        <f t="array" ref="D589">IF(C589="","",IFERROR(_xlfn.XLOOKUP(C589,Estoque!$A:$A,Estoque!$B:$B,""),""))</f>
        <v/>
      </c>
      <c r="E589" s="8"/>
      <c r="F589" s="8"/>
    </row>
    <row r="590" ht="15.75" customHeight="1">
      <c r="A590" s="9"/>
      <c r="B590" s="8"/>
      <c r="C590" s="8"/>
      <c r="D590" s="8" t="str">
        <f t="array" ref="D590">IF(C590="","",IFERROR(_xlfn.XLOOKUP(C590,Estoque!$A:$A,Estoque!$B:$B,""),""))</f>
        <v/>
      </c>
      <c r="E590" s="8"/>
      <c r="F590" s="8"/>
    </row>
    <row r="591" ht="15.75" customHeight="1">
      <c r="A591" s="9"/>
      <c r="B591" s="8"/>
      <c r="C591" s="8"/>
      <c r="D591" s="8" t="str">
        <f t="array" ref="D591">IF(C591="","",IFERROR(_xlfn.XLOOKUP(C591,Estoque!$A:$A,Estoque!$B:$B,""),""))</f>
        <v/>
      </c>
      <c r="E591" s="8"/>
      <c r="F591" s="8"/>
    </row>
    <row r="592" ht="15.75" customHeight="1">
      <c r="A592" s="9"/>
      <c r="B592" s="8"/>
      <c r="C592" s="8"/>
      <c r="D592" s="8" t="str">
        <f t="array" ref="D592">IF(C592="","",IFERROR(_xlfn.XLOOKUP(C592,Estoque!$A:$A,Estoque!$B:$B,""),""))</f>
        <v/>
      </c>
      <c r="E592" s="8"/>
      <c r="F592" s="8"/>
    </row>
    <row r="593" ht="15.75" customHeight="1">
      <c r="A593" s="9"/>
      <c r="B593" s="8"/>
      <c r="C593" s="8"/>
      <c r="D593" s="8" t="str">
        <f t="array" ref="D593">IF(C593="","",IFERROR(_xlfn.XLOOKUP(C593,Estoque!$A:$A,Estoque!$B:$B,""),""))</f>
        <v/>
      </c>
      <c r="E593" s="8"/>
      <c r="F593" s="8"/>
    </row>
    <row r="594" ht="15.75" customHeight="1">
      <c r="A594" s="9"/>
      <c r="B594" s="8"/>
      <c r="C594" s="8"/>
      <c r="D594" s="8" t="str">
        <f t="array" ref="D594">IF(C594="","",IFERROR(_xlfn.XLOOKUP(C594,Estoque!$A:$A,Estoque!$B:$B,""),""))</f>
        <v/>
      </c>
      <c r="E594" s="8"/>
      <c r="F594" s="8"/>
    </row>
    <row r="595" ht="15.75" customHeight="1">
      <c r="A595" s="9"/>
      <c r="B595" s="8"/>
      <c r="C595" s="8"/>
      <c r="D595" s="8" t="str">
        <f t="array" ref="D595">IF(C595="","",IFERROR(_xlfn.XLOOKUP(C595,Estoque!$A:$A,Estoque!$B:$B,""),""))</f>
        <v/>
      </c>
      <c r="E595" s="8"/>
      <c r="F595" s="8"/>
    </row>
    <row r="596" ht="15.75" customHeight="1">
      <c r="A596" s="9"/>
      <c r="B596" s="8"/>
      <c r="C596" s="8"/>
      <c r="D596" s="8" t="str">
        <f t="array" ref="D596">IF(C596="","",IFERROR(_xlfn.XLOOKUP(C596,Estoque!$A:$A,Estoque!$B:$B,""),""))</f>
        <v/>
      </c>
      <c r="E596" s="8"/>
      <c r="F596" s="8"/>
    </row>
    <row r="597" ht="15.75" customHeight="1">
      <c r="A597" s="9"/>
      <c r="B597" s="8"/>
      <c r="C597" s="8"/>
      <c r="D597" s="8" t="str">
        <f t="array" ref="D597">IF(C597="","",IFERROR(_xlfn.XLOOKUP(C597,Estoque!$A:$A,Estoque!$B:$B,""),""))</f>
        <v/>
      </c>
      <c r="E597" s="8"/>
      <c r="F597" s="8"/>
    </row>
    <row r="598" ht="15.75" customHeight="1">
      <c r="A598" s="9"/>
      <c r="B598" s="8"/>
      <c r="C598" s="8"/>
      <c r="D598" s="8" t="str">
        <f t="array" ref="D598">IF(C598="","",IFERROR(_xlfn.XLOOKUP(C598,Estoque!$A:$A,Estoque!$B:$B,""),""))</f>
        <v/>
      </c>
      <c r="E598" s="8"/>
      <c r="F598" s="8"/>
    </row>
    <row r="599" ht="15.75" customHeight="1">
      <c r="A599" s="9"/>
      <c r="B599" s="8"/>
      <c r="C599" s="8"/>
      <c r="D599" s="8" t="str">
        <f t="array" ref="D599">IF(C599="","",IFERROR(_xlfn.XLOOKUP(C599,Estoque!$A:$A,Estoque!$B:$B,""),""))</f>
        <v/>
      </c>
      <c r="E599" s="8"/>
      <c r="F599" s="8"/>
    </row>
    <row r="600" ht="15.75" customHeight="1">
      <c r="A600" s="9"/>
      <c r="B600" s="8"/>
      <c r="C600" s="8"/>
      <c r="D600" s="8" t="str">
        <f t="array" ref="D600">IF(C600="","",IFERROR(_xlfn.XLOOKUP(C600,Estoque!$A:$A,Estoque!$B:$B,""),""))</f>
        <v/>
      </c>
      <c r="E600" s="8"/>
      <c r="F600" s="8"/>
    </row>
    <row r="601" ht="15.75" customHeight="1">
      <c r="A601" s="9"/>
      <c r="B601" s="8"/>
      <c r="C601" s="8"/>
      <c r="D601" s="8" t="str">
        <f t="array" ref="D601">IF(C601="","",IFERROR(_xlfn.XLOOKUP(C601,Estoque!$A:$A,Estoque!$B:$B,""),""))</f>
        <v/>
      </c>
      <c r="E601" s="8"/>
      <c r="F601" s="8"/>
    </row>
    <row r="602" ht="15.75" customHeight="1">
      <c r="A602" s="9"/>
      <c r="B602" s="8"/>
      <c r="C602" s="8"/>
      <c r="D602" s="8" t="str">
        <f t="array" ref="D602">IF(C602="","",IFERROR(_xlfn.XLOOKUP(C602,Estoque!$A:$A,Estoque!$B:$B,""),""))</f>
        <v/>
      </c>
      <c r="E602" s="8"/>
      <c r="F602" s="8"/>
    </row>
    <row r="603" ht="15.75" customHeight="1">
      <c r="A603" s="9"/>
      <c r="B603" s="8"/>
      <c r="C603" s="8"/>
      <c r="D603" s="8" t="str">
        <f t="array" ref="D603">IF(C603="","",IFERROR(_xlfn.XLOOKUP(C603,Estoque!$A:$A,Estoque!$B:$B,""),""))</f>
        <v/>
      </c>
      <c r="E603" s="8"/>
      <c r="F603" s="8"/>
    </row>
    <row r="604" ht="15.75" customHeight="1">
      <c r="A604" s="9"/>
      <c r="B604" s="8"/>
      <c r="C604" s="8"/>
      <c r="D604" s="8" t="str">
        <f t="array" ref="D604">IF(C604="","",IFERROR(_xlfn.XLOOKUP(C604,Estoque!$A:$A,Estoque!$B:$B,""),""))</f>
        <v/>
      </c>
      <c r="E604" s="8"/>
      <c r="F604" s="8"/>
    </row>
    <row r="605" ht="15.75" customHeight="1">
      <c r="A605" s="9"/>
      <c r="B605" s="8"/>
      <c r="C605" s="8"/>
      <c r="D605" s="8" t="str">
        <f t="array" ref="D605">IF(C605="","",IFERROR(_xlfn.XLOOKUP(C605,Estoque!$A:$A,Estoque!$B:$B,""),""))</f>
        <v/>
      </c>
      <c r="E605" s="8"/>
      <c r="F605" s="8"/>
    </row>
    <row r="606" ht="15.75" customHeight="1">
      <c r="A606" s="9"/>
      <c r="B606" s="8"/>
      <c r="C606" s="8"/>
      <c r="D606" s="8" t="str">
        <f t="array" ref="D606">IF(C606="","",IFERROR(_xlfn.XLOOKUP(C606,Estoque!$A:$A,Estoque!$B:$B,""),""))</f>
        <v/>
      </c>
      <c r="E606" s="8"/>
      <c r="F606" s="8"/>
    </row>
    <row r="607" ht="15.75" customHeight="1">
      <c r="A607" s="9"/>
      <c r="B607" s="8"/>
      <c r="C607" s="8"/>
      <c r="D607" s="8" t="str">
        <f t="array" ref="D607">IF(C607="","",IFERROR(_xlfn.XLOOKUP(C607,Estoque!$A:$A,Estoque!$B:$B,""),""))</f>
        <v/>
      </c>
      <c r="E607" s="8"/>
      <c r="F607" s="8"/>
    </row>
    <row r="608" ht="15.75" customHeight="1">
      <c r="A608" s="9"/>
      <c r="B608" s="8"/>
      <c r="C608" s="8"/>
      <c r="D608" s="8" t="str">
        <f t="array" ref="D608">IF(C608="","",IFERROR(_xlfn.XLOOKUP(C608,Estoque!$A:$A,Estoque!$B:$B,""),""))</f>
        <v/>
      </c>
      <c r="E608" s="8"/>
      <c r="F608" s="8"/>
    </row>
    <row r="609" ht="15.75" customHeight="1">
      <c r="A609" s="9"/>
      <c r="B609" s="8"/>
      <c r="C609" s="8"/>
      <c r="D609" s="8" t="str">
        <f t="array" ref="D609">IF(C609="","",IFERROR(_xlfn.XLOOKUP(C609,Estoque!$A:$A,Estoque!$B:$B,""),""))</f>
        <v/>
      </c>
      <c r="E609" s="8"/>
      <c r="F609" s="8"/>
    </row>
    <row r="610" ht="15.75" customHeight="1">
      <c r="A610" s="9"/>
      <c r="B610" s="8"/>
      <c r="C610" s="8"/>
      <c r="D610" s="8" t="str">
        <f t="array" ref="D610">IF(C610="","",IFERROR(_xlfn.XLOOKUP(C610,Estoque!$A:$A,Estoque!$B:$B,""),""))</f>
        <v/>
      </c>
      <c r="E610" s="8"/>
      <c r="F610" s="8"/>
    </row>
    <row r="611" ht="15.75" customHeight="1">
      <c r="A611" s="9"/>
      <c r="B611" s="8"/>
      <c r="C611" s="8"/>
      <c r="D611" s="8" t="str">
        <f t="array" ref="D611">IF(C611="","",IFERROR(_xlfn.XLOOKUP(C611,Estoque!$A:$A,Estoque!$B:$B,""),""))</f>
        <v/>
      </c>
      <c r="E611" s="8"/>
      <c r="F611" s="8"/>
    </row>
    <row r="612" ht="15.75" customHeight="1">
      <c r="A612" s="9"/>
      <c r="B612" s="8"/>
      <c r="C612" s="8"/>
      <c r="D612" s="8" t="str">
        <f t="array" ref="D612">IF(C612="","",IFERROR(_xlfn.XLOOKUP(C612,Estoque!$A:$A,Estoque!$B:$B,""),""))</f>
        <v/>
      </c>
      <c r="E612" s="8"/>
      <c r="F612" s="8"/>
    </row>
    <row r="613" ht="15.75" customHeight="1">
      <c r="A613" s="9"/>
      <c r="B613" s="8"/>
      <c r="C613" s="8"/>
      <c r="D613" s="8" t="str">
        <f t="array" ref="D613">IF(C613="","",IFERROR(_xlfn.XLOOKUP(C613,Estoque!$A:$A,Estoque!$B:$B,""),""))</f>
        <v/>
      </c>
      <c r="E613" s="8"/>
      <c r="F613" s="8"/>
    </row>
    <row r="614" ht="15.75" customHeight="1">
      <c r="A614" s="9"/>
      <c r="B614" s="8"/>
      <c r="C614" s="8"/>
      <c r="D614" s="8" t="str">
        <f t="array" ref="D614">IF(C614="","",IFERROR(_xlfn.XLOOKUP(C614,Estoque!$A:$A,Estoque!$B:$B,""),""))</f>
        <v/>
      </c>
      <c r="E614" s="8"/>
      <c r="F614" s="8"/>
    </row>
    <row r="615" ht="15.75" customHeight="1">
      <c r="A615" s="9"/>
      <c r="B615" s="8"/>
      <c r="C615" s="8"/>
      <c r="D615" s="8" t="str">
        <f t="array" ref="D615">IF(C615="","",IFERROR(_xlfn.XLOOKUP(C615,Estoque!$A:$A,Estoque!$B:$B,""),""))</f>
        <v/>
      </c>
      <c r="E615" s="8"/>
      <c r="F615" s="8"/>
    </row>
    <row r="616" ht="15.75" customHeight="1">
      <c r="A616" s="9"/>
      <c r="B616" s="8"/>
      <c r="C616" s="8"/>
      <c r="D616" s="8" t="str">
        <f t="array" ref="D616">IF(C616="","",IFERROR(_xlfn.XLOOKUP(C616,Estoque!$A:$A,Estoque!$B:$B,""),""))</f>
        <v/>
      </c>
      <c r="E616" s="8"/>
      <c r="F616" s="8"/>
    </row>
    <row r="617" ht="15.75" customHeight="1">
      <c r="A617" s="9"/>
      <c r="B617" s="8"/>
      <c r="C617" s="8"/>
      <c r="D617" s="8" t="str">
        <f t="array" ref="D617">IF(C617="","",IFERROR(_xlfn.XLOOKUP(C617,Estoque!$A:$A,Estoque!$B:$B,""),""))</f>
        <v/>
      </c>
      <c r="E617" s="8"/>
      <c r="F617" s="8"/>
    </row>
    <row r="618" ht="15.75" customHeight="1">
      <c r="A618" s="9"/>
      <c r="B618" s="8"/>
      <c r="C618" s="8"/>
      <c r="D618" s="8" t="str">
        <f t="array" ref="D618">IF(C618="","",IFERROR(_xlfn.XLOOKUP(C618,Estoque!$A:$A,Estoque!$B:$B,""),""))</f>
        <v/>
      </c>
      <c r="E618" s="8"/>
      <c r="F618" s="8"/>
    </row>
    <row r="619" ht="15.75" customHeight="1">
      <c r="A619" s="9"/>
      <c r="B619" s="8"/>
      <c r="C619" s="8"/>
      <c r="D619" s="8" t="str">
        <f t="array" ref="D619">IF(C619="","",IFERROR(_xlfn.XLOOKUP(C619,Estoque!$A:$A,Estoque!$B:$B,""),""))</f>
        <v/>
      </c>
      <c r="E619" s="8"/>
      <c r="F619" s="8"/>
    </row>
    <row r="620" ht="15.75" customHeight="1">
      <c r="A620" s="9"/>
      <c r="B620" s="8"/>
      <c r="C620" s="8"/>
      <c r="D620" s="8" t="str">
        <f t="array" ref="D620">IF(C620="","",IFERROR(_xlfn.XLOOKUP(C620,Estoque!$A:$A,Estoque!$B:$B,""),""))</f>
        <v/>
      </c>
      <c r="E620" s="8"/>
      <c r="F620" s="8"/>
    </row>
    <row r="621" ht="15.75" customHeight="1">
      <c r="A621" s="9"/>
      <c r="B621" s="8"/>
      <c r="C621" s="8"/>
      <c r="D621" s="8" t="str">
        <f t="array" ref="D621">IF(C621="","",IFERROR(_xlfn.XLOOKUP(C621,Estoque!$A:$A,Estoque!$B:$B,""),""))</f>
        <v/>
      </c>
      <c r="E621" s="8"/>
      <c r="F621" s="8"/>
    </row>
    <row r="622" ht="15.75" customHeight="1">
      <c r="A622" s="9"/>
      <c r="B622" s="8"/>
      <c r="C622" s="8"/>
      <c r="D622" s="8" t="str">
        <f t="array" ref="D622">IF(C622="","",IFERROR(_xlfn.XLOOKUP(C622,Estoque!$A:$A,Estoque!$B:$B,""),""))</f>
        <v/>
      </c>
      <c r="E622" s="8"/>
      <c r="F622" s="8"/>
    </row>
    <row r="623" ht="15.75" customHeight="1">
      <c r="A623" s="9"/>
      <c r="B623" s="8"/>
      <c r="C623" s="8"/>
      <c r="D623" s="8" t="str">
        <f t="array" ref="D623">IF(C623="","",IFERROR(_xlfn.XLOOKUP(C623,Estoque!$A:$A,Estoque!$B:$B,""),""))</f>
        <v/>
      </c>
      <c r="E623" s="8"/>
      <c r="F623" s="8"/>
    </row>
    <row r="624" ht="15.75" customHeight="1">
      <c r="A624" s="9"/>
      <c r="B624" s="8"/>
      <c r="C624" s="8"/>
      <c r="D624" s="8" t="str">
        <f t="array" ref="D624">IF(C624="","",IFERROR(_xlfn.XLOOKUP(C624,Estoque!$A:$A,Estoque!$B:$B,""),""))</f>
        <v/>
      </c>
      <c r="E624" s="8"/>
      <c r="F624" s="8"/>
    </row>
    <row r="625" ht="15.75" customHeight="1">
      <c r="A625" s="9"/>
      <c r="B625" s="8"/>
      <c r="C625" s="8"/>
      <c r="D625" s="8" t="str">
        <f t="array" ref="D625">IF(C625="","",IFERROR(_xlfn.XLOOKUP(C625,Estoque!$A:$A,Estoque!$B:$B,""),""))</f>
        <v/>
      </c>
      <c r="E625" s="8"/>
      <c r="F625" s="8"/>
    </row>
    <row r="626" ht="15.75" customHeight="1">
      <c r="A626" s="9"/>
      <c r="B626" s="8"/>
      <c r="C626" s="8"/>
      <c r="D626" s="8" t="str">
        <f t="array" ref="D626">IF(C626="","",IFERROR(_xlfn.XLOOKUP(C626,Estoque!$A:$A,Estoque!$B:$B,""),""))</f>
        <v/>
      </c>
      <c r="E626" s="8"/>
      <c r="F626" s="8"/>
    </row>
    <row r="627" ht="15.75" customHeight="1">
      <c r="A627" s="9"/>
      <c r="B627" s="8"/>
      <c r="C627" s="8"/>
      <c r="D627" s="8" t="str">
        <f t="array" ref="D627">IF(C627="","",IFERROR(_xlfn.XLOOKUP(C627,Estoque!$A:$A,Estoque!$B:$B,""),""))</f>
        <v/>
      </c>
      <c r="E627" s="8"/>
      <c r="F627" s="8"/>
    </row>
    <row r="628" ht="15.75" customHeight="1">
      <c r="A628" s="9"/>
      <c r="B628" s="8"/>
      <c r="C628" s="8"/>
      <c r="D628" s="8" t="str">
        <f t="array" ref="D628">IF(C628="","",IFERROR(_xlfn.XLOOKUP(C628,Estoque!$A:$A,Estoque!$B:$B,""),""))</f>
        <v/>
      </c>
      <c r="E628" s="8"/>
      <c r="F628" s="8"/>
    </row>
    <row r="629" ht="15.75" customHeight="1">
      <c r="A629" s="9"/>
      <c r="B629" s="8"/>
      <c r="C629" s="8"/>
      <c r="D629" s="8" t="str">
        <f t="array" ref="D629">IF(C629="","",IFERROR(_xlfn.XLOOKUP(C629,Estoque!$A:$A,Estoque!$B:$B,""),""))</f>
        <v/>
      </c>
      <c r="E629" s="8"/>
      <c r="F629" s="8"/>
    </row>
    <row r="630" ht="15.75" customHeight="1">
      <c r="A630" s="9"/>
      <c r="B630" s="8"/>
      <c r="C630" s="8"/>
      <c r="D630" s="8" t="str">
        <f t="array" ref="D630">IF(C630="","",IFERROR(_xlfn.XLOOKUP(C630,Estoque!$A:$A,Estoque!$B:$B,""),""))</f>
        <v/>
      </c>
      <c r="E630" s="8"/>
      <c r="F630" s="8"/>
    </row>
    <row r="631" ht="15.75" customHeight="1">
      <c r="A631" s="9"/>
      <c r="B631" s="8"/>
      <c r="C631" s="8"/>
      <c r="D631" s="8" t="str">
        <f t="array" ref="D631">IF(C631="","",IFERROR(_xlfn.XLOOKUP(C631,Estoque!$A:$A,Estoque!$B:$B,""),""))</f>
        <v/>
      </c>
      <c r="E631" s="8"/>
      <c r="F631" s="8"/>
    </row>
    <row r="632" ht="15.75" customHeight="1">
      <c r="A632" s="9"/>
      <c r="B632" s="8"/>
      <c r="C632" s="8"/>
      <c r="D632" s="8" t="str">
        <f t="array" ref="D632">IF(C632="","",IFERROR(_xlfn.XLOOKUP(C632,Estoque!$A:$A,Estoque!$B:$B,""),""))</f>
        <v/>
      </c>
      <c r="E632" s="8"/>
      <c r="F632" s="8"/>
    </row>
    <row r="633" ht="15.75" customHeight="1">
      <c r="A633" s="9"/>
      <c r="B633" s="8"/>
      <c r="C633" s="8"/>
      <c r="D633" s="8" t="str">
        <f t="array" ref="D633">IF(C633="","",IFERROR(_xlfn.XLOOKUP(C633,Estoque!$A:$A,Estoque!$B:$B,""),""))</f>
        <v/>
      </c>
      <c r="E633" s="8"/>
      <c r="F633" s="8"/>
    </row>
    <row r="634" ht="15.75" customHeight="1">
      <c r="A634" s="9"/>
      <c r="B634" s="8"/>
      <c r="C634" s="8"/>
      <c r="D634" s="8" t="str">
        <f t="array" ref="D634">IF(C634="","",IFERROR(_xlfn.XLOOKUP(C634,Estoque!$A:$A,Estoque!$B:$B,""),""))</f>
        <v/>
      </c>
      <c r="E634" s="8"/>
      <c r="F634" s="8"/>
    </row>
    <row r="635" ht="15.75" customHeight="1">
      <c r="A635" s="9"/>
      <c r="B635" s="8"/>
      <c r="C635" s="8"/>
      <c r="D635" s="8" t="str">
        <f t="array" ref="D635">IF(C635="","",IFERROR(_xlfn.XLOOKUP(C635,Estoque!$A:$A,Estoque!$B:$B,""),""))</f>
        <v/>
      </c>
      <c r="E635" s="8"/>
      <c r="F635" s="8"/>
    </row>
    <row r="636" ht="15.75" customHeight="1">
      <c r="A636" s="9"/>
      <c r="B636" s="8"/>
      <c r="C636" s="8"/>
      <c r="D636" s="8" t="str">
        <f t="array" ref="D636">IF(C636="","",IFERROR(_xlfn.XLOOKUP(C636,Estoque!$A:$A,Estoque!$B:$B,""),""))</f>
        <v/>
      </c>
      <c r="E636" s="8"/>
      <c r="F636" s="8"/>
    </row>
    <row r="637" ht="15.75" customHeight="1">
      <c r="A637" s="9"/>
      <c r="B637" s="8"/>
      <c r="C637" s="8"/>
      <c r="D637" s="8" t="str">
        <f t="array" ref="D637">IF(C637="","",IFERROR(_xlfn.XLOOKUP(C637,Estoque!$A:$A,Estoque!$B:$B,""),""))</f>
        <v/>
      </c>
      <c r="E637" s="8"/>
      <c r="F637" s="8"/>
    </row>
    <row r="638" ht="15.75" customHeight="1">
      <c r="A638" s="9"/>
      <c r="B638" s="8"/>
      <c r="C638" s="8"/>
      <c r="D638" s="8" t="str">
        <f t="array" ref="D638">IF(C638="","",IFERROR(_xlfn.XLOOKUP(C638,Estoque!$A:$A,Estoque!$B:$B,""),""))</f>
        <v/>
      </c>
      <c r="E638" s="8"/>
      <c r="F638" s="8"/>
    </row>
    <row r="639" ht="15.75" customHeight="1">
      <c r="A639" s="9"/>
      <c r="B639" s="8"/>
      <c r="C639" s="8"/>
      <c r="D639" s="8" t="str">
        <f t="array" ref="D639">IF(C639="","",IFERROR(_xlfn.XLOOKUP(C639,Estoque!$A:$A,Estoque!$B:$B,""),""))</f>
        <v/>
      </c>
      <c r="E639" s="8"/>
      <c r="F639" s="8"/>
    </row>
    <row r="640" ht="15.75" customHeight="1">
      <c r="A640" s="9"/>
      <c r="B640" s="8"/>
      <c r="C640" s="8"/>
      <c r="D640" s="8" t="str">
        <f t="array" ref="D640">IF(C640="","",IFERROR(_xlfn.XLOOKUP(C640,Estoque!$A:$A,Estoque!$B:$B,""),""))</f>
        <v/>
      </c>
      <c r="E640" s="8"/>
      <c r="F640" s="8"/>
    </row>
    <row r="641" ht="15.75" customHeight="1">
      <c r="A641" s="9"/>
      <c r="B641" s="8"/>
      <c r="C641" s="8"/>
      <c r="D641" s="8" t="str">
        <f t="array" ref="D641">IF(C641="","",IFERROR(_xlfn.XLOOKUP(C641,Estoque!$A:$A,Estoque!$B:$B,""),""))</f>
        <v/>
      </c>
      <c r="E641" s="8"/>
      <c r="F641" s="8"/>
    </row>
    <row r="642" ht="15.75" customHeight="1">
      <c r="A642" s="9"/>
      <c r="B642" s="8"/>
      <c r="C642" s="8"/>
      <c r="D642" s="8" t="str">
        <f t="array" ref="D642">IF(C642="","",IFERROR(_xlfn.XLOOKUP(C642,Estoque!$A:$A,Estoque!$B:$B,""),""))</f>
        <v/>
      </c>
      <c r="E642" s="8"/>
      <c r="F642" s="8"/>
    </row>
    <row r="643" ht="15.75" customHeight="1">
      <c r="A643" s="9"/>
      <c r="B643" s="8"/>
      <c r="C643" s="8"/>
      <c r="D643" s="8" t="str">
        <f t="array" ref="D643">IF(C643="","",IFERROR(_xlfn.XLOOKUP(C643,Estoque!$A:$A,Estoque!$B:$B,""),""))</f>
        <v/>
      </c>
      <c r="E643" s="8"/>
      <c r="F643" s="8"/>
    </row>
    <row r="644" ht="15.75" customHeight="1">
      <c r="A644" s="9"/>
      <c r="B644" s="8"/>
      <c r="C644" s="8"/>
      <c r="D644" s="8" t="str">
        <f t="array" ref="D644">IF(C644="","",IFERROR(_xlfn.XLOOKUP(C644,Estoque!$A:$A,Estoque!$B:$B,""),""))</f>
        <v/>
      </c>
      <c r="E644" s="8"/>
      <c r="F644" s="8"/>
    </row>
    <row r="645" ht="15.75" customHeight="1">
      <c r="A645" s="9"/>
      <c r="B645" s="8"/>
      <c r="C645" s="8"/>
      <c r="D645" s="8" t="str">
        <f t="array" ref="D645">IF(C645="","",IFERROR(_xlfn.XLOOKUP(C645,Estoque!$A:$A,Estoque!$B:$B,""),""))</f>
        <v/>
      </c>
      <c r="E645" s="8"/>
      <c r="F645" s="8"/>
    </row>
    <row r="646" ht="15.75" customHeight="1">
      <c r="A646" s="9"/>
      <c r="B646" s="8"/>
      <c r="C646" s="8"/>
      <c r="D646" s="8" t="str">
        <f t="array" ref="D646">IF(C646="","",IFERROR(_xlfn.XLOOKUP(C646,Estoque!$A:$A,Estoque!$B:$B,""),""))</f>
        <v/>
      </c>
      <c r="E646" s="8"/>
      <c r="F646" s="8"/>
    </row>
    <row r="647" ht="15.75" customHeight="1">
      <c r="A647" s="9"/>
      <c r="B647" s="8"/>
      <c r="C647" s="8"/>
      <c r="D647" s="8" t="str">
        <f t="array" ref="D647">IF(C647="","",IFERROR(_xlfn.XLOOKUP(C647,Estoque!$A:$A,Estoque!$B:$B,""),""))</f>
        <v/>
      </c>
      <c r="E647" s="8"/>
      <c r="F647" s="8"/>
    </row>
    <row r="648" ht="15.75" customHeight="1">
      <c r="A648" s="9"/>
      <c r="B648" s="8"/>
      <c r="C648" s="8"/>
      <c r="D648" s="8" t="str">
        <f t="array" ref="D648">IF(C648="","",IFERROR(_xlfn.XLOOKUP(C648,Estoque!$A:$A,Estoque!$B:$B,""),""))</f>
        <v/>
      </c>
      <c r="E648" s="8"/>
      <c r="F648" s="8"/>
    </row>
    <row r="649" ht="15.75" customHeight="1">
      <c r="A649" s="9"/>
      <c r="B649" s="8"/>
      <c r="C649" s="8"/>
      <c r="D649" s="8" t="str">
        <f t="array" ref="D649">IF(C649="","",IFERROR(_xlfn.XLOOKUP(C649,Estoque!$A:$A,Estoque!$B:$B,""),""))</f>
        <v/>
      </c>
      <c r="E649" s="8"/>
      <c r="F649" s="8"/>
    </row>
    <row r="650" ht="15.75" customHeight="1">
      <c r="A650" s="9"/>
      <c r="B650" s="8"/>
      <c r="C650" s="8"/>
      <c r="D650" s="8" t="str">
        <f t="array" ref="D650">IF(C650="","",IFERROR(_xlfn.XLOOKUP(C650,Estoque!$A:$A,Estoque!$B:$B,""),""))</f>
        <v/>
      </c>
      <c r="E650" s="8"/>
      <c r="F650" s="8"/>
    </row>
    <row r="651" ht="15.75" customHeight="1">
      <c r="A651" s="9"/>
      <c r="B651" s="8"/>
      <c r="C651" s="8"/>
      <c r="D651" s="8" t="str">
        <f t="array" ref="D651">IF(C651="","",IFERROR(_xlfn.XLOOKUP(C651,Estoque!$A:$A,Estoque!$B:$B,""),""))</f>
        <v/>
      </c>
      <c r="E651" s="8"/>
      <c r="F651" s="8"/>
    </row>
    <row r="652" ht="15.75" customHeight="1">
      <c r="A652" s="9"/>
      <c r="B652" s="8"/>
      <c r="C652" s="8"/>
      <c r="D652" s="8" t="str">
        <f t="array" ref="D652">IF(C652="","",IFERROR(_xlfn.XLOOKUP(C652,Estoque!$A:$A,Estoque!$B:$B,""),""))</f>
        <v/>
      </c>
      <c r="E652" s="8"/>
      <c r="F652" s="8"/>
    </row>
    <row r="653" ht="15.75" customHeight="1">
      <c r="A653" s="9"/>
      <c r="B653" s="8"/>
      <c r="C653" s="8"/>
      <c r="D653" s="8" t="str">
        <f t="array" ref="D653">IF(C653="","",IFERROR(_xlfn.XLOOKUP(C653,Estoque!$A:$A,Estoque!$B:$B,""),""))</f>
        <v/>
      </c>
      <c r="E653" s="8"/>
      <c r="F653" s="8"/>
    </row>
    <row r="654" ht="15.75" customHeight="1">
      <c r="A654" s="9"/>
      <c r="B654" s="8"/>
      <c r="C654" s="8"/>
      <c r="D654" s="8" t="str">
        <f t="array" ref="D654">IF(C654="","",IFERROR(_xlfn.XLOOKUP(C654,Estoque!$A:$A,Estoque!$B:$B,""),""))</f>
        <v/>
      </c>
      <c r="E654" s="8"/>
      <c r="F654" s="8"/>
    </row>
    <row r="655" ht="15.75" customHeight="1">
      <c r="A655" s="9"/>
      <c r="B655" s="8"/>
      <c r="C655" s="8"/>
      <c r="D655" s="8" t="str">
        <f t="array" ref="D655">IF(C655="","",IFERROR(_xlfn.XLOOKUP(C655,Estoque!$A:$A,Estoque!$B:$B,""),""))</f>
        <v/>
      </c>
      <c r="E655" s="8"/>
      <c r="F655" s="8"/>
    </row>
    <row r="656" ht="15.75" customHeight="1">
      <c r="A656" s="9"/>
      <c r="B656" s="8"/>
      <c r="C656" s="8"/>
      <c r="D656" s="8" t="str">
        <f t="array" ref="D656">IF(C656="","",IFERROR(_xlfn.XLOOKUP(C656,Estoque!$A:$A,Estoque!$B:$B,""),""))</f>
        <v/>
      </c>
      <c r="E656" s="8"/>
      <c r="F656" s="8"/>
    </row>
    <row r="657" ht="15.75" customHeight="1">
      <c r="A657" s="9"/>
      <c r="B657" s="8"/>
      <c r="C657" s="8"/>
      <c r="D657" s="8" t="str">
        <f t="array" ref="D657">IF(C657="","",IFERROR(_xlfn.XLOOKUP(C657,Estoque!$A:$A,Estoque!$B:$B,""),""))</f>
        <v/>
      </c>
      <c r="E657" s="8"/>
      <c r="F657" s="8"/>
    </row>
    <row r="658" ht="15.75" customHeight="1">
      <c r="A658" s="9"/>
      <c r="B658" s="8"/>
      <c r="C658" s="8"/>
      <c r="D658" s="8" t="str">
        <f t="array" ref="D658">IF(C658="","",IFERROR(_xlfn.XLOOKUP(C658,Estoque!$A:$A,Estoque!$B:$B,""),""))</f>
        <v/>
      </c>
      <c r="E658" s="8"/>
      <c r="F658" s="8"/>
    </row>
    <row r="659" ht="15.75" customHeight="1">
      <c r="A659" s="9"/>
      <c r="B659" s="8"/>
      <c r="C659" s="8"/>
      <c r="D659" s="8" t="str">
        <f t="array" ref="D659">IF(C659="","",IFERROR(_xlfn.XLOOKUP(C659,Estoque!$A:$A,Estoque!$B:$B,""),""))</f>
        <v/>
      </c>
      <c r="E659" s="8"/>
      <c r="F659" s="8"/>
    </row>
    <row r="660" ht="15.75" customHeight="1">
      <c r="A660" s="9"/>
      <c r="B660" s="8"/>
      <c r="C660" s="8"/>
      <c r="D660" s="8" t="str">
        <f t="array" ref="D660">IF(C660="","",IFERROR(_xlfn.XLOOKUP(C660,Estoque!$A:$A,Estoque!$B:$B,""),""))</f>
        <v/>
      </c>
      <c r="E660" s="8"/>
      <c r="F660" s="8"/>
    </row>
    <row r="661" ht="15.75" customHeight="1">
      <c r="A661" s="9"/>
      <c r="B661" s="8"/>
      <c r="C661" s="8"/>
      <c r="D661" s="8" t="str">
        <f t="array" ref="D661">IF(C661="","",IFERROR(_xlfn.XLOOKUP(C661,Estoque!$A:$A,Estoque!$B:$B,""),""))</f>
        <v/>
      </c>
      <c r="E661" s="8"/>
      <c r="F661" s="8"/>
    </row>
    <row r="662" ht="15.75" customHeight="1">
      <c r="A662" s="9"/>
      <c r="B662" s="8"/>
      <c r="C662" s="8"/>
      <c r="D662" s="8" t="str">
        <f t="array" ref="D662">IF(C662="","",IFERROR(_xlfn.XLOOKUP(C662,Estoque!$A:$A,Estoque!$B:$B,""),""))</f>
        <v/>
      </c>
      <c r="E662" s="8"/>
      <c r="F662" s="8"/>
    </row>
    <row r="663" ht="15.75" customHeight="1">
      <c r="A663" s="9"/>
      <c r="B663" s="8"/>
      <c r="C663" s="8"/>
      <c r="D663" s="8" t="str">
        <f t="array" ref="D663">IF(C663="","",IFERROR(_xlfn.XLOOKUP(C663,Estoque!$A:$A,Estoque!$B:$B,""),""))</f>
        <v/>
      </c>
      <c r="E663" s="8"/>
      <c r="F663" s="8"/>
    </row>
    <row r="664" ht="15.75" customHeight="1">
      <c r="A664" s="9"/>
      <c r="B664" s="8"/>
      <c r="C664" s="8"/>
      <c r="D664" s="8" t="str">
        <f t="array" ref="D664">IF(C664="","",IFERROR(_xlfn.XLOOKUP(C664,Estoque!$A:$A,Estoque!$B:$B,""),""))</f>
        <v/>
      </c>
      <c r="E664" s="8"/>
      <c r="F664" s="8"/>
    </row>
    <row r="665" ht="15.75" customHeight="1">
      <c r="A665" s="9"/>
      <c r="B665" s="8"/>
      <c r="C665" s="8"/>
      <c r="D665" s="8" t="str">
        <f t="array" ref="D665">IF(C665="","",IFERROR(_xlfn.XLOOKUP(C665,Estoque!$A:$A,Estoque!$B:$B,""),""))</f>
        <v/>
      </c>
      <c r="E665" s="8"/>
      <c r="F665" s="8"/>
    </row>
    <row r="666" ht="15.75" customHeight="1">
      <c r="A666" s="9"/>
      <c r="B666" s="8"/>
      <c r="C666" s="8"/>
      <c r="D666" s="8" t="str">
        <f t="array" ref="D666">IF(C666="","",IFERROR(_xlfn.XLOOKUP(C666,Estoque!$A:$A,Estoque!$B:$B,""),""))</f>
        <v/>
      </c>
      <c r="E666" s="8"/>
      <c r="F666" s="8"/>
    </row>
    <row r="667" ht="15.75" customHeight="1">
      <c r="A667" s="9"/>
      <c r="B667" s="8"/>
      <c r="C667" s="8"/>
      <c r="D667" s="8" t="str">
        <f t="array" ref="D667">IF(C667="","",IFERROR(_xlfn.XLOOKUP(C667,Estoque!$A:$A,Estoque!$B:$B,""),""))</f>
        <v/>
      </c>
      <c r="E667" s="8"/>
      <c r="F667" s="8"/>
    </row>
    <row r="668" ht="15.75" customHeight="1">
      <c r="A668" s="9"/>
      <c r="B668" s="8"/>
      <c r="C668" s="8"/>
      <c r="D668" s="8" t="str">
        <f t="array" ref="D668">IF(C668="","",IFERROR(_xlfn.XLOOKUP(C668,Estoque!$A:$A,Estoque!$B:$B,""),""))</f>
        <v/>
      </c>
      <c r="E668" s="8"/>
      <c r="F668" s="8"/>
    </row>
    <row r="669" ht="15.75" customHeight="1">
      <c r="A669" s="9"/>
      <c r="B669" s="8"/>
      <c r="C669" s="8"/>
      <c r="D669" s="8" t="str">
        <f t="array" ref="D669">IF(C669="","",IFERROR(_xlfn.XLOOKUP(C669,Estoque!$A:$A,Estoque!$B:$B,""),""))</f>
        <v/>
      </c>
      <c r="E669" s="8"/>
      <c r="F669" s="8"/>
    </row>
    <row r="670" ht="15.75" customHeight="1">
      <c r="A670" s="9"/>
      <c r="B670" s="8"/>
      <c r="C670" s="8"/>
      <c r="D670" s="8" t="str">
        <f t="array" ref="D670">IF(C670="","",IFERROR(_xlfn.XLOOKUP(C670,Estoque!$A:$A,Estoque!$B:$B,""),""))</f>
        <v/>
      </c>
      <c r="E670" s="8"/>
      <c r="F670" s="8"/>
    </row>
    <row r="671" ht="15.75" customHeight="1">
      <c r="A671" s="9"/>
      <c r="B671" s="8"/>
      <c r="C671" s="8"/>
      <c r="D671" s="8" t="str">
        <f t="array" ref="D671">IF(C671="","",IFERROR(_xlfn.XLOOKUP(C671,Estoque!$A:$A,Estoque!$B:$B,""),""))</f>
        <v/>
      </c>
      <c r="E671" s="8"/>
      <c r="F671" s="8"/>
    </row>
    <row r="672" ht="15.75" customHeight="1">
      <c r="A672" s="9"/>
      <c r="B672" s="8"/>
      <c r="C672" s="8"/>
      <c r="D672" s="8" t="str">
        <f t="array" ref="D672">IF(C672="","",IFERROR(_xlfn.XLOOKUP(C672,Estoque!$A:$A,Estoque!$B:$B,""),""))</f>
        <v/>
      </c>
      <c r="E672" s="8"/>
      <c r="F672" s="8"/>
    </row>
    <row r="673" ht="15.75" customHeight="1">
      <c r="A673" s="9"/>
      <c r="B673" s="8"/>
      <c r="C673" s="8"/>
      <c r="D673" s="8" t="str">
        <f t="array" ref="D673">IF(C673="","",IFERROR(_xlfn.XLOOKUP(C673,Estoque!$A:$A,Estoque!$B:$B,""),""))</f>
        <v/>
      </c>
      <c r="E673" s="8"/>
      <c r="F673" s="8"/>
    </row>
    <row r="674" ht="15.75" customHeight="1">
      <c r="A674" s="9"/>
      <c r="B674" s="8"/>
      <c r="C674" s="8"/>
      <c r="D674" s="8" t="str">
        <f t="array" ref="D674">IF(C674="","",IFERROR(_xlfn.XLOOKUP(C674,Estoque!$A:$A,Estoque!$B:$B,""),""))</f>
        <v/>
      </c>
      <c r="E674" s="8"/>
      <c r="F674" s="8"/>
    </row>
    <row r="675" ht="15.75" customHeight="1">
      <c r="A675" s="9"/>
      <c r="B675" s="8"/>
      <c r="C675" s="8"/>
      <c r="D675" s="8" t="str">
        <f t="array" ref="D675">IF(C675="","",IFERROR(_xlfn.XLOOKUP(C675,Estoque!$A:$A,Estoque!$B:$B,""),""))</f>
        <v/>
      </c>
      <c r="E675" s="8"/>
      <c r="F675" s="8"/>
    </row>
    <row r="676" ht="15.75" customHeight="1">
      <c r="A676" s="9"/>
      <c r="B676" s="8"/>
      <c r="C676" s="8"/>
      <c r="D676" s="8" t="str">
        <f t="array" ref="D676">IF(C676="","",IFERROR(_xlfn.XLOOKUP(C676,Estoque!$A:$A,Estoque!$B:$B,""),""))</f>
        <v/>
      </c>
      <c r="E676" s="8"/>
      <c r="F676" s="8"/>
    </row>
    <row r="677" ht="15.75" customHeight="1">
      <c r="A677" s="9"/>
      <c r="B677" s="8"/>
      <c r="C677" s="8"/>
      <c r="D677" s="8" t="str">
        <f t="array" ref="D677">IF(C677="","",IFERROR(_xlfn.XLOOKUP(C677,Estoque!$A:$A,Estoque!$B:$B,""),""))</f>
        <v/>
      </c>
      <c r="E677" s="8"/>
      <c r="F677" s="8"/>
    </row>
    <row r="678" ht="15.75" customHeight="1">
      <c r="A678" s="9"/>
      <c r="B678" s="8"/>
      <c r="C678" s="8"/>
      <c r="D678" s="8" t="str">
        <f t="array" ref="D678">IF(C678="","",IFERROR(_xlfn.XLOOKUP(C678,Estoque!$A:$A,Estoque!$B:$B,""),""))</f>
        <v/>
      </c>
      <c r="E678" s="8"/>
      <c r="F678" s="8"/>
    </row>
    <row r="679" ht="15.75" customHeight="1">
      <c r="A679" s="9"/>
      <c r="B679" s="8"/>
      <c r="C679" s="8"/>
      <c r="D679" s="8" t="str">
        <f t="array" ref="D679">IF(C679="","",IFERROR(_xlfn.XLOOKUP(C679,Estoque!$A:$A,Estoque!$B:$B,""),""))</f>
        <v/>
      </c>
      <c r="E679" s="8"/>
      <c r="F679" s="8"/>
    </row>
    <row r="680" ht="15.75" customHeight="1">
      <c r="A680" s="9"/>
      <c r="B680" s="8"/>
      <c r="C680" s="8"/>
      <c r="D680" s="8" t="str">
        <f t="array" ref="D680">IF(C680="","",IFERROR(_xlfn.XLOOKUP(C680,Estoque!$A:$A,Estoque!$B:$B,""),""))</f>
        <v/>
      </c>
      <c r="E680" s="8"/>
      <c r="F680" s="8"/>
    </row>
    <row r="681" ht="15.75" customHeight="1">
      <c r="A681" s="9"/>
      <c r="B681" s="8"/>
      <c r="C681" s="8"/>
      <c r="D681" s="8" t="str">
        <f t="array" ref="D681">IF(C681="","",IFERROR(_xlfn.XLOOKUP(C681,Estoque!$A:$A,Estoque!$B:$B,""),""))</f>
        <v/>
      </c>
      <c r="E681" s="8"/>
      <c r="F681" s="8"/>
    </row>
    <row r="682" ht="15.75" customHeight="1">
      <c r="A682" s="9"/>
      <c r="B682" s="8"/>
      <c r="C682" s="8"/>
      <c r="D682" s="8" t="str">
        <f t="array" ref="D682">IF(C682="","",IFERROR(_xlfn.XLOOKUP(C682,Estoque!$A:$A,Estoque!$B:$B,""),""))</f>
        <v/>
      </c>
      <c r="E682" s="8"/>
      <c r="F682" s="8"/>
    </row>
    <row r="683" ht="15.75" customHeight="1">
      <c r="A683" s="9"/>
      <c r="B683" s="8"/>
      <c r="C683" s="8"/>
      <c r="D683" s="8" t="str">
        <f t="array" ref="D683">IF(C683="","",IFERROR(_xlfn.XLOOKUP(C683,Estoque!$A:$A,Estoque!$B:$B,""),""))</f>
        <v/>
      </c>
      <c r="E683" s="8"/>
      <c r="F683" s="8"/>
    </row>
    <row r="684" ht="15.75" customHeight="1">
      <c r="A684" s="9"/>
      <c r="B684" s="8"/>
      <c r="C684" s="8"/>
      <c r="D684" s="8" t="str">
        <f t="array" ref="D684">IF(C684="","",IFERROR(_xlfn.XLOOKUP(C684,Estoque!$A:$A,Estoque!$B:$B,""),""))</f>
        <v/>
      </c>
      <c r="E684" s="8"/>
      <c r="F684" s="8"/>
    </row>
    <row r="685" ht="15.75" customHeight="1">
      <c r="A685" s="9"/>
      <c r="B685" s="8"/>
      <c r="C685" s="8"/>
      <c r="D685" s="8" t="str">
        <f t="array" ref="D685">IF(C685="","",IFERROR(_xlfn.XLOOKUP(C685,Estoque!$A:$A,Estoque!$B:$B,""),""))</f>
        <v/>
      </c>
      <c r="E685" s="8"/>
      <c r="F685" s="8"/>
    </row>
    <row r="686" ht="15.75" customHeight="1">
      <c r="A686" s="9"/>
      <c r="B686" s="8"/>
      <c r="C686" s="8"/>
      <c r="D686" s="8" t="str">
        <f t="array" ref="D686">IF(C686="","",IFERROR(_xlfn.XLOOKUP(C686,Estoque!$A:$A,Estoque!$B:$B,""),""))</f>
        <v/>
      </c>
      <c r="E686" s="8"/>
      <c r="F686" s="8"/>
    </row>
    <row r="687" ht="15.75" customHeight="1">
      <c r="A687" s="9"/>
      <c r="B687" s="8"/>
      <c r="C687" s="8"/>
      <c r="D687" s="8" t="str">
        <f t="array" ref="D687">IF(C687="","",IFERROR(_xlfn.XLOOKUP(C687,Estoque!$A:$A,Estoque!$B:$B,""),""))</f>
        <v/>
      </c>
      <c r="E687" s="8"/>
      <c r="F687" s="8"/>
    </row>
    <row r="688" ht="15.75" customHeight="1">
      <c r="A688" s="9"/>
      <c r="B688" s="8"/>
      <c r="C688" s="8"/>
      <c r="D688" s="8" t="str">
        <f t="array" ref="D688">IF(C688="","",IFERROR(_xlfn.XLOOKUP(C688,Estoque!$A:$A,Estoque!$B:$B,""),""))</f>
        <v/>
      </c>
      <c r="E688" s="8"/>
      <c r="F688" s="8"/>
    </row>
    <row r="689" ht="15.75" customHeight="1">
      <c r="A689" s="9"/>
      <c r="B689" s="8"/>
      <c r="C689" s="8"/>
      <c r="D689" s="8" t="str">
        <f t="array" ref="D689">IF(C689="","",IFERROR(_xlfn.XLOOKUP(C689,Estoque!$A:$A,Estoque!$B:$B,""),""))</f>
        <v/>
      </c>
      <c r="E689" s="8"/>
      <c r="F689" s="8"/>
    </row>
    <row r="690" ht="15.75" customHeight="1">
      <c r="A690" s="9"/>
      <c r="B690" s="8"/>
      <c r="C690" s="8"/>
      <c r="D690" s="8" t="str">
        <f t="array" ref="D690">IF(C690="","",IFERROR(_xlfn.XLOOKUP(C690,Estoque!$A:$A,Estoque!$B:$B,""),""))</f>
        <v/>
      </c>
      <c r="E690" s="8"/>
      <c r="F690" s="8"/>
    </row>
    <row r="691" ht="15.75" customHeight="1">
      <c r="A691" s="9"/>
      <c r="B691" s="8"/>
      <c r="C691" s="8"/>
      <c r="D691" s="8" t="str">
        <f t="array" ref="D691">IF(C691="","",IFERROR(_xlfn.XLOOKUP(C691,Estoque!$A:$A,Estoque!$B:$B,""),""))</f>
        <v/>
      </c>
      <c r="E691" s="8"/>
      <c r="F691" s="8"/>
    </row>
    <row r="692" ht="15.75" customHeight="1">
      <c r="A692" s="9"/>
      <c r="B692" s="8"/>
      <c r="C692" s="8"/>
      <c r="D692" s="8" t="str">
        <f t="array" ref="D692">IF(C692="","",IFERROR(_xlfn.XLOOKUP(C692,Estoque!$A:$A,Estoque!$B:$B,""),""))</f>
        <v/>
      </c>
      <c r="E692" s="8"/>
      <c r="F692" s="8"/>
    </row>
    <row r="693" ht="15.75" customHeight="1">
      <c r="A693" s="9"/>
      <c r="B693" s="8"/>
      <c r="C693" s="8"/>
      <c r="D693" s="8" t="str">
        <f t="array" ref="D693">IF(C693="","",IFERROR(_xlfn.XLOOKUP(C693,Estoque!$A:$A,Estoque!$B:$B,""),""))</f>
        <v/>
      </c>
      <c r="E693" s="8"/>
      <c r="F693" s="8"/>
    </row>
    <row r="694" ht="15.75" customHeight="1">
      <c r="A694" s="9"/>
      <c r="B694" s="8"/>
      <c r="C694" s="8"/>
      <c r="D694" s="8" t="str">
        <f t="array" ref="D694">IF(C694="","",IFERROR(_xlfn.XLOOKUP(C694,Estoque!$A:$A,Estoque!$B:$B,""),""))</f>
        <v/>
      </c>
      <c r="E694" s="8"/>
      <c r="F694" s="8"/>
    </row>
    <row r="695" ht="15.75" customHeight="1">
      <c r="A695" s="9"/>
      <c r="B695" s="8"/>
      <c r="C695" s="8"/>
      <c r="D695" s="8" t="str">
        <f t="array" ref="D695">IF(C695="","",IFERROR(_xlfn.XLOOKUP(C695,Estoque!$A:$A,Estoque!$B:$B,""),""))</f>
        <v/>
      </c>
      <c r="E695" s="8"/>
      <c r="F695" s="8"/>
    </row>
    <row r="696" ht="15.75" customHeight="1">
      <c r="A696" s="9"/>
      <c r="B696" s="8"/>
      <c r="C696" s="8"/>
      <c r="D696" s="8" t="str">
        <f t="array" ref="D696">IF(C696="","",IFERROR(_xlfn.XLOOKUP(C696,Estoque!$A:$A,Estoque!$B:$B,""),""))</f>
        <v/>
      </c>
      <c r="E696" s="8"/>
      <c r="F696" s="8"/>
    </row>
    <row r="697" ht="15.75" customHeight="1">
      <c r="A697" s="9"/>
      <c r="B697" s="8"/>
      <c r="C697" s="8"/>
      <c r="D697" s="8" t="str">
        <f t="array" ref="D697">IF(C697="","",IFERROR(_xlfn.XLOOKUP(C697,Estoque!$A:$A,Estoque!$B:$B,""),""))</f>
        <v/>
      </c>
      <c r="E697" s="8"/>
      <c r="F697" s="8"/>
    </row>
    <row r="698" ht="15.75" customHeight="1">
      <c r="A698" s="9"/>
      <c r="B698" s="8"/>
      <c r="C698" s="8"/>
      <c r="D698" s="8" t="str">
        <f t="array" ref="D698">IF(C698="","",IFERROR(_xlfn.XLOOKUP(C698,Estoque!$A:$A,Estoque!$B:$B,""),""))</f>
        <v/>
      </c>
      <c r="E698" s="8"/>
      <c r="F698" s="8"/>
    </row>
    <row r="699" ht="15.75" customHeight="1">
      <c r="A699" s="9"/>
      <c r="B699" s="8"/>
      <c r="C699" s="8"/>
      <c r="D699" s="8" t="str">
        <f t="array" ref="D699">IF(C699="","",IFERROR(_xlfn.XLOOKUP(C699,Estoque!$A:$A,Estoque!$B:$B,""),""))</f>
        <v/>
      </c>
      <c r="E699" s="8"/>
      <c r="F699" s="8"/>
    </row>
    <row r="700" ht="15.75" customHeight="1">
      <c r="A700" s="9"/>
      <c r="B700" s="8"/>
      <c r="C700" s="8"/>
      <c r="D700" s="8" t="str">
        <f t="array" ref="D700">IF(C700="","",IFERROR(_xlfn.XLOOKUP(C700,Estoque!$A:$A,Estoque!$B:$B,""),""))</f>
        <v/>
      </c>
      <c r="E700" s="8"/>
      <c r="F700" s="8"/>
    </row>
    <row r="701" ht="15.75" customHeight="1">
      <c r="A701" s="9"/>
      <c r="B701" s="8"/>
      <c r="C701" s="8"/>
      <c r="D701" s="8" t="str">
        <f t="array" ref="D701">IF(C701="","",IFERROR(_xlfn.XLOOKUP(C701,Estoque!$A:$A,Estoque!$B:$B,""),""))</f>
        <v/>
      </c>
      <c r="E701" s="8"/>
      <c r="F701" s="8"/>
    </row>
    <row r="702" ht="15.75" customHeight="1">
      <c r="A702" s="9"/>
      <c r="B702" s="8"/>
      <c r="C702" s="8"/>
      <c r="D702" s="8" t="str">
        <f t="array" ref="D702">IF(C702="","",IFERROR(_xlfn.XLOOKUP(C702,Estoque!$A:$A,Estoque!$B:$B,""),""))</f>
        <v/>
      </c>
      <c r="E702" s="8"/>
      <c r="F702" s="8"/>
    </row>
    <row r="703" ht="15.75" customHeight="1">
      <c r="A703" s="9"/>
      <c r="B703" s="8"/>
      <c r="C703" s="8"/>
      <c r="D703" s="8" t="str">
        <f t="array" ref="D703">IF(C703="","",IFERROR(_xlfn.XLOOKUP(C703,Estoque!$A:$A,Estoque!$B:$B,""),""))</f>
        <v/>
      </c>
      <c r="E703" s="8"/>
      <c r="F703" s="8"/>
    </row>
    <row r="704" ht="15.75" customHeight="1">
      <c r="A704" s="9"/>
      <c r="B704" s="8"/>
      <c r="C704" s="8"/>
      <c r="D704" s="8" t="str">
        <f t="array" ref="D704">IF(C704="","",IFERROR(_xlfn.XLOOKUP(C704,Estoque!$A:$A,Estoque!$B:$B,""),""))</f>
        <v/>
      </c>
      <c r="E704" s="8"/>
      <c r="F704" s="8"/>
    </row>
    <row r="705" ht="15.75" customHeight="1">
      <c r="A705" s="9"/>
      <c r="B705" s="8"/>
      <c r="C705" s="8"/>
      <c r="D705" s="8" t="str">
        <f t="array" ref="D705">IF(C705="","",IFERROR(_xlfn.XLOOKUP(C705,Estoque!$A:$A,Estoque!$B:$B,""),""))</f>
        <v/>
      </c>
      <c r="E705" s="8"/>
      <c r="F705" s="8"/>
    </row>
    <row r="706" ht="15.75" customHeight="1">
      <c r="A706" s="9"/>
      <c r="B706" s="8"/>
      <c r="C706" s="8"/>
      <c r="D706" s="8" t="str">
        <f t="array" ref="D706">IF(C706="","",IFERROR(_xlfn.XLOOKUP(C706,Estoque!$A:$A,Estoque!$B:$B,""),""))</f>
        <v/>
      </c>
      <c r="E706" s="8"/>
      <c r="F706" s="8"/>
    </row>
    <row r="707" ht="15.75" customHeight="1">
      <c r="A707" s="9"/>
      <c r="B707" s="8"/>
      <c r="C707" s="8"/>
      <c r="D707" s="8" t="str">
        <f t="array" ref="D707">IF(C707="","",IFERROR(_xlfn.XLOOKUP(C707,Estoque!$A:$A,Estoque!$B:$B,""),""))</f>
        <v/>
      </c>
      <c r="E707" s="8"/>
      <c r="F707" s="8"/>
    </row>
    <row r="708" ht="15.75" customHeight="1">
      <c r="A708" s="9"/>
      <c r="B708" s="8"/>
      <c r="C708" s="8"/>
      <c r="D708" s="8" t="str">
        <f t="array" ref="D708">IF(C708="","",IFERROR(_xlfn.XLOOKUP(C708,Estoque!$A:$A,Estoque!$B:$B,""),""))</f>
        <v/>
      </c>
      <c r="E708" s="8"/>
      <c r="F708" s="8"/>
    </row>
    <row r="709" ht="15.75" customHeight="1">
      <c r="A709" s="9"/>
      <c r="B709" s="8"/>
      <c r="C709" s="8"/>
      <c r="D709" s="8" t="str">
        <f t="array" ref="D709">IF(C709="","",IFERROR(_xlfn.XLOOKUP(C709,Estoque!$A:$A,Estoque!$B:$B,""),""))</f>
        <v/>
      </c>
      <c r="E709" s="8"/>
      <c r="F709" s="8"/>
    </row>
    <row r="710" ht="15.75" customHeight="1">
      <c r="A710" s="9"/>
      <c r="B710" s="8"/>
      <c r="C710" s="8"/>
      <c r="D710" s="8" t="str">
        <f t="array" ref="D710">IF(C710="","",IFERROR(_xlfn.XLOOKUP(C710,Estoque!$A:$A,Estoque!$B:$B,""),""))</f>
        <v/>
      </c>
      <c r="E710" s="8"/>
      <c r="F710" s="8"/>
    </row>
    <row r="711" ht="15.75" customHeight="1">
      <c r="A711" s="9"/>
      <c r="B711" s="8"/>
      <c r="C711" s="8"/>
      <c r="D711" s="8" t="str">
        <f t="array" ref="D711">IF(C711="","",IFERROR(_xlfn.XLOOKUP(C711,Estoque!$A:$A,Estoque!$B:$B,""),""))</f>
        <v/>
      </c>
      <c r="E711" s="8"/>
      <c r="F711" s="8"/>
    </row>
    <row r="712" ht="15.75" customHeight="1">
      <c r="A712" s="9"/>
      <c r="B712" s="8"/>
      <c r="C712" s="8"/>
      <c r="D712" s="8" t="str">
        <f t="array" ref="D712">IF(C712="","",IFERROR(_xlfn.XLOOKUP(C712,Estoque!$A:$A,Estoque!$B:$B,""),""))</f>
        <v/>
      </c>
      <c r="E712" s="8"/>
      <c r="F712" s="8"/>
    </row>
    <row r="713" ht="15.75" customHeight="1">
      <c r="A713" s="9"/>
      <c r="B713" s="8"/>
      <c r="C713" s="8"/>
      <c r="D713" s="8" t="str">
        <f t="array" ref="D713">IF(C713="","",IFERROR(_xlfn.XLOOKUP(C713,Estoque!$A:$A,Estoque!$B:$B,""),""))</f>
        <v/>
      </c>
      <c r="E713" s="8"/>
      <c r="F713" s="8"/>
    </row>
    <row r="714" ht="15.75" customHeight="1">
      <c r="A714" s="9"/>
      <c r="B714" s="8"/>
      <c r="C714" s="8"/>
      <c r="D714" s="8" t="str">
        <f t="array" ref="D714">IF(C714="","",IFERROR(_xlfn.XLOOKUP(C714,Estoque!$A:$A,Estoque!$B:$B,""),""))</f>
        <v/>
      </c>
      <c r="E714" s="8"/>
      <c r="F714" s="8"/>
    </row>
    <row r="715" ht="15.75" customHeight="1">
      <c r="A715" s="9"/>
      <c r="B715" s="8"/>
      <c r="C715" s="8"/>
      <c r="D715" s="8" t="str">
        <f t="array" ref="D715">IF(C715="","",IFERROR(_xlfn.XLOOKUP(C715,Estoque!$A:$A,Estoque!$B:$B,""),""))</f>
        <v/>
      </c>
      <c r="E715" s="8"/>
      <c r="F715" s="8"/>
    </row>
    <row r="716" ht="15.75" customHeight="1">
      <c r="A716" s="9"/>
      <c r="B716" s="8"/>
      <c r="C716" s="8"/>
      <c r="D716" s="8" t="str">
        <f t="array" ref="D716">IF(C716="","",IFERROR(_xlfn.XLOOKUP(C716,Estoque!$A:$A,Estoque!$B:$B,""),""))</f>
        <v/>
      </c>
      <c r="E716" s="8"/>
      <c r="F716" s="8"/>
    </row>
    <row r="717" ht="15.75" customHeight="1">
      <c r="A717" s="9"/>
      <c r="B717" s="8"/>
      <c r="C717" s="8"/>
      <c r="D717" s="8" t="str">
        <f t="array" ref="D717">IF(C717="","",IFERROR(_xlfn.XLOOKUP(C717,Estoque!$A:$A,Estoque!$B:$B,""),""))</f>
        <v/>
      </c>
      <c r="E717" s="8"/>
      <c r="F717" s="8"/>
    </row>
    <row r="718" ht="15.75" customHeight="1">
      <c r="A718" s="9"/>
      <c r="B718" s="8"/>
      <c r="C718" s="8"/>
      <c r="D718" s="8" t="str">
        <f t="array" ref="D718">IF(C718="","",IFERROR(_xlfn.XLOOKUP(C718,Estoque!$A:$A,Estoque!$B:$B,""),""))</f>
        <v/>
      </c>
      <c r="E718" s="8"/>
      <c r="F718" s="8"/>
    </row>
    <row r="719" ht="15.75" customHeight="1">
      <c r="A719" s="9"/>
      <c r="B719" s="8"/>
      <c r="C719" s="8"/>
      <c r="D719" s="8" t="str">
        <f t="array" ref="D719">IF(C719="","",IFERROR(_xlfn.XLOOKUP(C719,Estoque!$A:$A,Estoque!$B:$B,""),""))</f>
        <v/>
      </c>
      <c r="E719" s="8"/>
      <c r="F719" s="8"/>
    </row>
    <row r="720" ht="15.75" customHeight="1">
      <c r="A720" s="9"/>
      <c r="B720" s="8"/>
      <c r="C720" s="8"/>
      <c r="D720" s="8" t="str">
        <f t="array" ref="D720">IF(C720="","",IFERROR(_xlfn.XLOOKUP(C720,Estoque!$A:$A,Estoque!$B:$B,""),""))</f>
        <v/>
      </c>
      <c r="E720" s="8"/>
      <c r="F720" s="8"/>
    </row>
    <row r="721" ht="15.75" customHeight="1">
      <c r="A721" s="9"/>
      <c r="B721" s="8"/>
      <c r="C721" s="8"/>
      <c r="D721" s="8" t="str">
        <f t="array" ref="D721">IF(C721="","",IFERROR(_xlfn.XLOOKUP(C721,Estoque!$A:$A,Estoque!$B:$B,""),""))</f>
        <v/>
      </c>
      <c r="E721" s="8"/>
      <c r="F721" s="8"/>
    </row>
    <row r="722" ht="15.75" customHeight="1">
      <c r="A722" s="9"/>
      <c r="B722" s="8"/>
      <c r="C722" s="8"/>
      <c r="D722" s="8" t="str">
        <f t="array" ref="D722">IF(C722="","",IFERROR(_xlfn.XLOOKUP(C722,Estoque!$A:$A,Estoque!$B:$B,""),""))</f>
        <v/>
      </c>
      <c r="E722" s="8"/>
      <c r="F722" s="8"/>
    </row>
    <row r="723" ht="15.75" customHeight="1">
      <c r="A723" s="9"/>
      <c r="B723" s="8"/>
      <c r="C723" s="8"/>
      <c r="D723" s="8" t="str">
        <f t="array" ref="D723">IF(C723="","",IFERROR(_xlfn.XLOOKUP(C723,Estoque!$A:$A,Estoque!$B:$B,""),""))</f>
        <v/>
      </c>
      <c r="E723" s="8"/>
      <c r="F723" s="8"/>
    </row>
    <row r="724" ht="15.75" customHeight="1">
      <c r="A724" s="9"/>
      <c r="B724" s="8"/>
      <c r="C724" s="8"/>
      <c r="D724" s="8" t="str">
        <f t="array" ref="D724">IF(C724="","",IFERROR(_xlfn.XLOOKUP(C724,Estoque!$A:$A,Estoque!$B:$B,""),""))</f>
        <v/>
      </c>
      <c r="E724" s="8"/>
      <c r="F724" s="8"/>
    </row>
    <row r="725" ht="15.75" customHeight="1">
      <c r="A725" s="9"/>
      <c r="B725" s="8"/>
      <c r="C725" s="8"/>
      <c r="D725" s="8" t="str">
        <f t="array" ref="D725">IF(C725="","",IFERROR(_xlfn.XLOOKUP(C725,Estoque!$A:$A,Estoque!$B:$B,""),""))</f>
        <v/>
      </c>
      <c r="E725" s="8"/>
      <c r="F725" s="8"/>
    </row>
    <row r="726" ht="15.75" customHeight="1">
      <c r="A726" s="9"/>
      <c r="B726" s="8"/>
      <c r="C726" s="8"/>
      <c r="D726" s="8" t="str">
        <f t="array" ref="D726">IF(C726="","",IFERROR(_xlfn.XLOOKUP(C726,Estoque!$A:$A,Estoque!$B:$B,""),""))</f>
        <v/>
      </c>
      <c r="E726" s="8"/>
      <c r="F726" s="8"/>
    </row>
    <row r="727" ht="15.75" customHeight="1">
      <c r="A727" s="9"/>
      <c r="B727" s="8"/>
      <c r="C727" s="8"/>
      <c r="D727" s="8" t="str">
        <f t="array" ref="D727">IF(C727="","",IFERROR(_xlfn.XLOOKUP(C727,Estoque!$A:$A,Estoque!$B:$B,""),""))</f>
        <v/>
      </c>
      <c r="E727" s="8"/>
      <c r="F727" s="8"/>
    </row>
    <row r="728" ht="15.75" customHeight="1">
      <c r="A728" s="9"/>
      <c r="B728" s="8"/>
      <c r="C728" s="8"/>
      <c r="D728" s="8" t="str">
        <f t="array" ref="D728">IF(C728="","",IFERROR(_xlfn.XLOOKUP(C728,Estoque!$A:$A,Estoque!$B:$B,""),""))</f>
        <v/>
      </c>
      <c r="E728" s="8"/>
      <c r="F728" s="8"/>
    </row>
    <row r="729" ht="15.75" customHeight="1">
      <c r="A729" s="9"/>
      <c r="B729" s="8"/>
      <c r="C729" s="8"/>
      <c r="D729" s="8" t="str">
        <f t="array" ref="D729">IF(C729="","",IFERROR(_xlfn.XLOOKUP(C729,Estoque!$A:$A,Estoque!$B:$B,""),""))</f>
        <v/>
      </c>
      <c r="E729" s="8"/>
      <c r="F729" s="8"/>
    </row>
    <row r="730" ht="15.75" customHeight="1">
      <c r="A730" s="9"/>
      <c r="B730" s="8"/>
      <c r="C730" s="8"/>
      <c r="D730" s="8" t="str">
        <f t="array" ref="D730">IF(C730="","",IFERROR(_xlfn.XLOOKUP(C730,Estoque!$A:$A,Estoque!$B:$B,""),""))</f>
        <v/>
      </c>
      <c r="E730" s="8"/>
      <c r="F730" s="8"/>
    </row>
    <row r="731" ht="15.75" customHeight="1">
      <c r="A731" s="9"/>
      <c r="B731" s="8"/>
      <c r="C731" s="8"/>
      <c r="D731" s="8" t="str">
        <f t="array" ref="D731">IF(C731="","",IFERROR(_xlfn.XLOOKUP(C731,Estoque!$A:$A,Estoque!$B:$B,""),""))</f>
        <v/>
      </c>
      <c r="E731" s="8"/>
      <c r="F731" s="8"/>
    </row>
    <row r="732" ht="15.75" customHeight="1">
      <c r="A732" s="9"/>
      <c r="B732" s="8"/>
      <c r="C732" s="8"/>
      <c r="D732" s="8" t="str">
        <f t="array" ref="D732">IF(C732="","",IFERROR(_xlfn.XLOOKUP(C732,Estoque!$A:$A,Estoque!$B:$B,""),""))</f>
        <v/>
      </c>
      <c r="E732" s="8"/>
      <c r="F732" s="8"/>
    </row>
    <row r="733" ht="15.75" customHeight="1">
      <c r="A733" s="9"/>
      <c r="B733" s="8"/>
      <c r="C733" s="8"/>
      <c r="D733" s="8" t="str">
        <f t="array" ref="D733">IF(C733="","",IFERROR(_xlfn.XLOOKUP(C733,Estoque!$A:$A,Estoque!$B:$B,""),""))</f>
        <v/>
      </c>
      <c r="E733" s="8"/>
      <c r="F733" s="8"/>
    </row>
    <row r="734" ht="15.75" customHeight="1">
      <c r="A734" s="9"/>
      <c r="B734" s="8"/>
      <c r="C734" s="8"/>
      <c r="D734" s="8" t="str">
        <f t="array" ref="D734">IF(C734="","",IFERROR(_xlfn.XLOOKUP(C734,Estoque!$A:$A,Estoque!$B:$B,""),""))</f>
        <v/>
      </c>
      <c r="E734" s="8"/>
      <c r="F734" s="8"/>
    </row>
    <row r="735" ht="15.75" customHeight="1">
      <c r="A735" s="9"/>
      <c r="B735" s="8"/>
      <c r="C735" s="8"/>
      <c r="D735" s="8" t="str">
        <f t="array" ref="D735">IF(C735="","",IFERROR(_xlfn.XLOOKUP(C735,Estoque!$A:$A,Estoque!$B:$B,""),""))</f>
        <v/>
      </c>
      <c r="E735" s="8"/>
      <c r="F735" s="8"/>
    </row>
    <row r="736" ht="15.75" customHeight="1">
      <c r="A736" s="9"/>
      <c r="B736" s="8"/>
      <c r="C736" s="8"/>
      <c r="D736" s="8" t="str">
        <f t="array" ref="D736">IF(C736="","",IFERROR(_xlfn.XLOOKUP(C736,Estoque!$A:$A,Estoque!$B:$B,""),""))</f>
        <v/>
      </c>
      <c r="E736" s="8"/>
      <c r="F736" s="8"/>
    </row>
    <row r="737" ht="15.75" customHeight="1">
      <c r="A737" s="9"/>
      <c r="B737" s="8"/>
      <c r="C737" s="8"/>
      <c r="D737" s="8" t="str">
        <f t="array" ref="D737">IF(C737="","",IFERROR(_xlfn.XLOOKUP(C737,Estoque!$A:$A,Estoque!$B:$B,""),""))</f>
        <v/>
      </c>
      <c r="E737" s="8"/>
      <c r="F737" s="8"/>
    </row>
    <row r="738" ht="15.75" customHeight="1">
      <c r="A738" s="9"/>
      <c r="B738" s="8"/>
      <c r="C738" s="8"/>
      <c r="D738" s="8" t="str">
        <f t="array" ref="D738">IF(C738="","",IFERROR(_xlfn.XLOOKUP(C738,Estoque!$A:$A,Estoque!$B:$B,""),""))</f>
        <v/>
      </c>
      <c r="E738" s="8"/>
      <c r="F738" s="8"/>
    </row>
    <row r="739" ht="15.75" customHeight="1">
      <c r="A739" s="9"/>
      <c r="B739" s="8"/>
      <c r="C739" s="8"/>
      <c r="D739" s="8" t="str">
        <f t="array" ref="D739">IF(C739="","",IFERROR(_xlfn.XLOOKUP(C739,Estoque!$A:$A,Estoque!$B:$B,""),""))</f>
        <v/>
      </c>
      <c r="E739" s="8"/>
      <c r="F739" s="8"/>
    </row>
    <row r="740" ht="15.75" customHeight="1">
      <c r="A740" s="9"/>
      <c r="B740" s="8"/>
      <c r="C740" s="8"/>
      <c r="D740" s="8" t="str">
        <f t="array" ref="D740">IF(C740="","",IFERROR(_xlfn.XLOOKUP(C740,Estoque!$A:$A,Estoque!$B:$B,""),""))</f>
        <v/>
      </c>
      <c r="E740" s="8"/>
      <c r="F740" s="8"/>
    </row>
    <row r="741" ht="15.75" customHeight="1">
      <c r="A741" s="9"/>
      <c r="B741" s="8"/>
      <c r="C741" s="8"/>
      <c r="D741" s="8" t="str">
        <f t="array" ref="D741">IF(C741="","",IFERROR(_xlfn.XLOOKUP(C741,Estoque!$A:$A,Estoque!$B:$B,""),""))</f>
        <v/>
      </c>
      <c r="E741" s="8"/>
      <c r="F741" s="8"/>
    </row>
    <row r="742" ht="15.75" customHeight="1">
      <c r="A742" s="9"/>
      <c r="B742" s="8"/>
      <c r="C742" s="8"/>
      <c r="D742" s="8" t="str">
        <f t="array" ref="D742">IF(C742="","",IFERROR(_xlfn.XLOOKUP(C742,Estoque!$A:$A,Estoque!$B:$B,""),""))</f>
        <v/>
      </c>
      <c r="E742" s="8"/>
      <c r="F742" s="8"/>
    </row>
    <row r="743" ht="15.75" customHeight="1">
      <c r="A743" s="9"/>
      <c r="B743" s="8"/>
      <c r="C743" s="8"/>
      <c r="D743" s="8" t="str">
        <f t="array" ref="D743">IF(C743="","",IFERROR(_xlfn.XLOOKUP(C743,Estoque!$A:$A,Estoque!$B:$B,""),""))</f>
        <v/>
      </c>
      <c r="E743" s="8"/>
      <c r="F743" s="8"/>
    </row>
    <row r="744" ht="15.75" customHeight="1">
      <c r="A744" s="9"/>
      <c r="B744" s="8"/>
      <c r="C744" s="8"/>
      <c r="D744" s="8" t="str">
        <f t="array" ref="D744">IF(C744="","",IFERROR(_xlfn.XLOOKUP(C744,Estoque!$A:$A,Estoque!$B:$B,""),""))</f>
        <v/>
      </c>
      <c r="E744" s="8"/>
      <c r="F744" s="8"/>
    </row>
    <row r="745" ht="15.75" customHeight="1">
      <c r="A745" s="9"/>
      <c r="B745" s="8"/>
      <c r="C745" s="8"/>
      <c r="D745" s="8" t="str">
        <f t="array" ref="D745">IF(C745="","",IFERROR(_xlfn.XLOOKUP(C745,Estoque!$A:$A,Estoque!$B:$B,""),""))</f>
        <v/>
      </c>
      <c r="E745" s="8"/>
      <c r="F745" s="8"/>
    </row>
    <row r="746" ht="15.75" customHeight="1">
      <c r="A746" s="9"/>
      <c r="B746" s="8"/>
      <c r="C746" s="8"/>
      <c r="D746" s="8" t="str">
        <f t="array" ref="D746">IF(C746="","",IFERROR(_xlfn.XLOOKUP(C746,Estoque!$A:$A,Estoque!$B:$B,""),""))</f>
        <v/>
      </c>
      <c r="E746" s="8"/>
      <c r="F746" s="8"/>
    </row>
    <row r="747" ht="15.75" customHeight="1">
      <c r="A747" s="9"/>
      <c r="B747" s="8"/>
      <c r="C747" s="8"/>
      <c r="D747" s="8" t="str">
        <f t="array" ref="D747">IF(C747="","",IFERROR(_xlfn.XLOOKUP(C747,Estoque!$A:$A,Estoque!$B:$B,""),""))</f>
        <v/>
      </c>
      <c r="E747" s="8"/>
      <c r="F747" s="8"/>
    </row>
    <row r="748" ht="15.75" customHeight="1">
      <c r="A748" s="9"/>
      <c r="B748" s="8"/>
      <c r="C748" s="8"/>
      <c r="D748" s="8" t="str">
        <f t="array" ref="D748">IF(C748="","",IFERROR(_xlfn.XLOOKUP(C748,Estoque!$A:$A,Estoque!$B:$B,""),""))</f>
        <v/>
      </c>
      <c r="E748" s="8"/>
      <c r="F748" s="8"/>
    </row>
    <row r="749" ht="15.75" customHeight="1">
      <c r="A749" s="9"/>
      <c r="B749" s="8"/>
      <c r="C749" s="8"/>
      <c r="D749" s="8" t="str">
        <f t="array" ref="D749">IF(C749="","",IFERROR(_xlfn.XLOOKUP(C749,Estoque!$A:$A,Estoque!$B:$B,""),""))</f>
        <v/>
      </c>
      <c r="E749" s="8"/>
      <c r="F749" s="8"/>
    </row>
    <row r="750" ht="15.75" customHeight="1">
      <c r="A750" s="9"/>
      <c r="B750" s="8"/>
      <c r="C750" s="8"/>
      <c r="D750" s="8" t="str">
        <f t="array" ref="D750">IF(C750="","",IFERROR(_xlfn.XLOOKUP(C750,Estoque!$A:$A,Estoque!$B:$B,""),""))</f>
        <v/>
      </c>
      <c r="E750" s="8"/>
      <c r="F750" s="8"/>
    </row>
    <row r="751" ht="15.75" customHeight="1">
      <c r="A751" s="9"/>
      <c r="B751" s="8"/>
      <c r="C751" s="8"/>
      <c r="D751" s="8" t="str">
        <f t="array" ref="D751">IF(C751="","",IFERROR(_xlfn.XLOOKUP(C751,Estoque!$A:$A,Estoque!$B:$B,""),""))</f>
        <v/>
      </c>
      <c r="E751" s="8"/>
      <c r="F751" s="8"/>
    </row>
    <row r="752" ht="15.75" customHeight="1">
      <c r="A752" s="9"/>
      <c r="B752" s="8"/>
      <c r="C752" s="8"/>
      <c r="D752" s="8" t="str">
        <f t="array" ref="D752">IF(C752="","",IFERROR(_xlfn.XLOOKUP(C752,Estoque!$A:$A,Estoque!$B:$B,""),""))</f>
        <v/>
      </c>
      <c r="E752" s="8"/>
      <c r="F752" s="8"/>
    </row>
    <row r="753" ht="15.75" customHeight="1">
      <c r="A753" s="9"/>
      <c r="B753" s="8"/>
      <c r="C753" s="8"/>
      <c r="D753" s="8" t="str">
        <f t="array" ref="D753">IF(C753="","",IFERROR(_xlfn.XLOOKUP(C753,Estoque!$A:$A,Estoque!$B:$B,""),""))</f>
        <v/>
      </c>
      <c r="E753" s="8"/>
      <c r="F753" s="8"/>
    </row>
    <row r="754" ht="15.75" customHeight="1">
      <c r="A754" s="9"/>
      <c r="B754" s="8"/>
      <c r="C754" s="8"/>
      <c r="D754" s="8" t="str">
        <f t="array" ref="D754">IF(C754="","",IFERROR(_xlfn.XLOOKUP(C754,Estoque!$A:$A,Estoque!$B:$B,""),""))</f>
        <v/>
      </c>
      <c r="E754" s="8"/>
      <c r="F754" s="8"/>
    </row>
    <row r="755" ht="15.75" customHeight="1">
      <c r="A755" s="9"/>
      <c r="B755" s="8"/>
      <c r="C755" s="8"/>
      <c r="D755" s="8" t="str">
        <f t="array" ref="D755">IF(C755="","",IFERROR(_xlfn.XLOOKUP(C755,Estoque!$A:$A,Estoque!$B:$B,""),""))</f>
        <v/>
      </c>
      <c r="E755" s="8"/>
      <c r="F755" s="8"/>
    </row>
    <row r="756" ht="15.75" customHeight="1">
      <c r="A756" s="9"/>
      <c r="B756" s="8"/>
      <c r="C756" s="8"/>
      <c r="D756" s="8" t="str">
        <f t="array" ref="D756">IF(C756="","",IFERROR(_xlfn.XLOOKUP(C756,Estoque!$A:$A,Estoque!$B:$B,""),""))</f>
        <v/>
      </c>
      <c r="E756" s="8"/>
      <c r="F756" s="8"/>
    </row>
    <row r="757" ht="15.75" customHeight="1">
      <c r="A757" s="9"/>
      <c r="B757" s="8"/>
      <c r="C757" s="8"/>
      <c r="D757" s="8" t="str">
        <f t="array" ref="D757">IF(C757="","",IFERROR(_xlfn.XLOOKUP(C757,Estoque!$A:$A,Estoque!$B:$B,""),""))</f>
        <v/>
      </c>
      <c r="E757" s="8"/>
      <c r="F757" s="8"/>
    </row>
    <row r="758" ht="15.75" customHeight="1">
      <c r="A758" s="9"/>
      <c r="B758" s="8"/>
      <c r="C758" s="8"/>
      <c r="D758" s="8" t="str">
        <f t="array" ref="D758">IF(C758="","",IFERROR(_xlfn.XLOOKUP(C758,Estoque!$A:$A,Estoque!$B:$B,""),""))</f>
        <v/>
      </c>
      <c r="E758" s="8"/>
      <c r="F758" s="8"/>
    </row>
    <row r="759" ht="15.75" customHeight="1">
      <c r="A759" s="9"/>
      <c r="B759" s="8"/>
      <c r="C759" s="8"/>
      <c r="D759" s="8" t="str">
        <f t="array" ref="D759">IF(C759="","",IFERROR(_xlfn.XLOOKUP(C759,Estoque!$A:$A,Estoque!$B:$B,""),""))</f>
        <v/>
      </c>
      <c r="E759" s="8"/>
      <c r="F759" s="8"/>
    </row>
    <row r="760" ht="15.75" customHeight="1">
      <c r="A760" s="9"/>
      <c r="B760" s="8"/>
      <c r="C760" s="8"/>
      <c r="D760" s="8" t="str">
        <f t="array" ref="D760">IF(C760="","",IFERROR(_xlfn.XLOOKUP(C760,Estoque!$A:$A,Estoque!$B:$B,""),""))</f>
        <v/>
      </c>
      <c r="E760" s="8"/>
      <c r="F760" s="8"/>
    </row>
    <row r="761" ht="15.75" customHeight="1">
      <c r="A761" s="9"/>
      <c r="B761" s="8"/>
      <c r="C761" s="8"/>
      <c r="D761" s="8" t="str">
        <f t="array" ref="D761">IF(C761="","",IFERROR(_xlfn.XLOOKUP(C761,Estoque!$A:$A,Estoque!$B:$B,""),""))</f>
        <v/>
      </c>
      <c r="E761" s="8"/>
      <c r="F761" s="8"/>
    </row>
    <row r="762" ht="15.75" customHeight="1">
      <c r="A762" s="9"/>
      <c r="B762" s="8"/>
      <c r="C762" s="8"/>
      <c r="D762" s="8" t="str">
        <f t="array" ref="D762">IF(C762="","",IFERROR(_xlfn.XLOOKUP(C762,Estoque!$A:$A,Estoque!$B:$B,""),""))</f>
        <v/>
      </c>
      <c r="E762" s="8"/>
      <c r="F762" s="8"/>
    </row>
    <row r="763" ht="15.75" customHeight="1">
      <c r="A763" s="9"/>
      <c r="B763" s="8"/>
      <c r="C763" s="8"/>
      <c r="D763" s="8" t="str">
        <f t="array" ref="D763">IF(C763="","",IFERROR(_xlfn.XLOOKUP(C763,Estoque!$A:$A,Estoque!$B:$B,""),""))</f>
        <v/>
      </c>
      <c r="E763" s="8"/>
      <c r="F763" s="8"/>
    </row>
    <row r="764" ht="15.75" customHeight="1">
      <c r="A764" s="9"/>
      <c r="B764" s="8"/>
      <c r="C764" s="8"/>
      <c r="D764" s="8" t="str">
        <f t="array" ref="D764">IF(C764="","",IFERROR(_xlfn.XLOOKUP(C764,Estoque!$A:$A,Estoque!$B:$B,""),""))</f>
        <v/>
      </c>
      <c r="E764" s="8"/>
      <c r="F764" s="8"/>
    </row>
    <row r="765" ht="15.75" customHeight="1">
      <c r="A765" s="9"/>
      <c r="B765" s="8"/>
      <c r="C765" s="8"/>
      <c r="D765" s="8" t="str">
        <f t="array" ref="D765">IF(C765="","",IFERROR(_xlfn.XLOOKUP(C765,Estoque!$A:$A,Estoque!$B:$B,""),""))</f>
        <v/>
      </c>
      <c r="E765" s="8"/>
      <c r="F765" s="8"/>
    </row>
    <row r="766" ht="15.75" customHeight="1">
      <c r="A766" s="9"/>
      <c r="B766" s="8"/>
      <c r="C766" s="8"/>
      <c r="D766" s="8" t="str">
        <f t="array" ref="D766">IF(C766="","",IFERROR(_xlfn.XLOOKUP(C766,Estoque!$A:$A,Estoque!$B:$B,""),""))</f>
        <v/>
      </c>
      <c r="E766" s="8"/>
      <c r="F766" s="8"/>
    </row>
    <row r="767" ht="15.75" customHeight="1">
      <c r="A767" s="9"/>
      <c r="B767" s="8"/>
      <c r="C767" s="8"/>
      <c r="D767" s="8" t="str">
        <f t="array" ref="D767">IF(C767="","",IFERROR(_xlfn.XLOOKUP(C767,Estoque!$A:$A,Estoque!$B:$B,""),""))</f>
        <v/>
      </c>
      <c r="E767" s="8"/>
      <c r="F767" s="8"/>
    </row>
    <row r="768" ht="15.75" customHeight="1">
      <c r="A768" s="9"/>
      <c r="B768" s="8"/>
      <c r="C768" s="8"/>
      <c r="D768" s="8" t="str">
        <f t="array" ref="D768">IF(C768="","",IFERROR(_xlfn.XLOOKUP(C768,Estoque!$A:$A,Estoque!$B:$B,""),""))</f>
        <v/>
      </c>
      <c r="E768" s="8"/>
      <c r="F768" s="8"/>
    </row>
    <row r="769" ht="15.75" customHeight="1">
      <c r="A769" s="9"/>
      <c r="B769" s="8"/>
      <c r="C769" s="8"/>
      <c r="D769" s="8" t="str">
        <f t="array" ref="D769">IF(C769="","",IFERROR(_xlfn.XLOOKUP(C769,Estoque!$A:$A,Estoque!$B:$B,""),""))</f>
        <v/>
      </c>
      <c r="E769" s="8"/>
      <c r="F769" s="8"/>
    </row>
    <row r="770" ht="15.75" customHeight="1">
      <c r="A770" s="9"/>
      <c r="B770" s="8"/>
      <c r="C770" s="8"/>
      <c r="D770" s="8" t="str">
        <f t="array" ref="D770">IF(C770="","",IFERROR(_xlfn.XLOOKUP(C770,Estoque!$A:$A,Estoque!$B:$B,""),""))</f>
        <v/>
      </c>
      <c r="E770" s="8"/>
      <c r="F770" s="8"/>
    </row>
    <row r="771" ht="15.75" customHeight="1">
      <c r="A771" s="9"/>
      <c r="B771" s="8"/>
      <c r="C771" s="8"/>
      <c r="D771" s="8" t="str">
        <f t="array" ref="D771">IF(C771="","",IFERROR(_xlfn.XLOOKUP(C771,Estoque!$A:$A,Estoque!$B:$B,""),""))</f>
        <v/>
      </c>
      <c r="E771" s="8"/>
      <c r="F771" s="8"/>
    </row>
    <row r="772" ht="15.75" customHeight="1">
      <c r="A772" s="9"/>
      <c r="B772" s="8"/>
      <c r="C772" s="8"/>
      <c r="D772" s="8" t="str">
        <f t="array" ref="D772">IF(C772="","",IFERROR(_xlfn.XLOOKUP(C772,Estoque!$A:$A,Estoque!$B:$B,""),""))</f>
        <v/>
      </c>
      <c r="E772" s="8"/>
      <c r="F772" s="8"/>
    </row>
    <row r="773" ht="15.75" customHeight="1">
      <c r="A773" s="9"/>
      <c r="B773" s="8"/>
      <c r="C773" s="8"/>
      <c r="D773" s="8" t="str">
        <f t="array" ref="D773">IF(C773="","",IFERROR(_xlfn.XLOOKUP(C773,Estoque!$A:$A,Estoque!$B:$B,""),""))</f>
        <v/>
      </c>
      <c r="E773" s="8"/>
      <c r="F773" s="8"/>
    </row>
    <row r="774" ht="15.75" customHeight="1">
      <c r="A774" s="9"/>
      <c r="B774" s="8"/>
      <c r="C774" s="8"/>
      <c r="D774" s="8" t="str">
        <f t="array" ref="D774">IF(C774="","",IFERROR(_xlfn.XLOOKUP(C774,Estoque!$A:$A,Estoque!$B:$B,""),""))</f>
        <v/>
      </c>
      <c r="E774" s="8"/>
      <c r="F774" s="8"/>
    </row>
    <row r="775" ht="15.75" customHeight="1">
      <c r="A775" s="9"/>
      <c r="B775" s="8"/>
      <c r="C775" s="8"/>
      <c r="D775" s="8" t="str">
        <f t="array" ref="D775">IF(C775="","",IFERROR(_xlfn.XLOOKUP(C775,Estoque!$A:$A,Estoque!$B:$B,""),""))</f>
        <v/>
      </c>
      <c r="E775" s="8"/>
      <c r="F775" s="8"/>
    </row>
    <row r="776" ht="15.75" customHeight="1">
      <c r="A776" s="9"/>
      <c r="B776" s="8"/>
      <c r="C776" s="8"/>
      <c r="D776" s="8" t="str">
        <f t="array" ref="D776">IF(C776="","",IFERROR(_xlfn.XLOOKUP(C776,Estoque!$A:$A,Estoque!$B:$B,""),""))</f>
        <v/>
      </c>
      <c r="E776" s="8"/>
      <c r="F776" s="8"/>
    </row>
    <row r="777" ht="15.75" customHeight="1">
      <c r="A777" s="9"/>
      <c r="B777" s="8"/>
      <c r="C777" s="8"/>
      <c r="D777" s="8" t="str">
        <f t="array" ref="D777">IF(C777="","",IFERROR(_xlfn.XLOOKUP(C777,Estoque!$A:$A,Estoque!$B:$B,""),""))</f>
        <v/>
      </c>
      <c r="E777" s="8"/>
      <c r="F777" s="8"/>
    </row>
    <row r="778" ht="15.75" customHeight="1">
      <c r="A778" s="9"/>
      <c r="B778" s="8"/>
      <c r="C778" s="8"/>
      <c r="D778" s="8" t="str">
        <f t="array" ref="D778">IF(C778="","",IFERROR(_xlfn.XLOOKUP(C778,Estoque!$A:$A,Estoque!$B:$B,""),""))</f>
        <v/>
      </c>
      <c r="E778" s="8"/>
      <c r="F778" s="8"/>
    </row>
    <row r="779" ht="15.75" customHeight="1">
      <c r="A779" s="9"/>
      <c r="B779" s="8"/>
      <c r="C779" s="8"/>
      <c r="D779" s="8" t="str">
        <f t="array" ref="D779">IF(C779="","",IFERROR(_xlfn.XLOOKUP(C779,Estoque!$A:$A,Estoque!$B:$B,""),""))</f>
        <v/>
      </c>
      <c r="E779" s="8"/>
      <c r="F779" s="8"/>
    </row>
    <row r="780" ht="15.75" customHeight="1">
      <c r="A780" s="9"/>
      <c r="B780" s="8"/>
      <c r="C780" s="8"/>
      <c r="D780" s="8" t="str">
        <f t="array" ref="D780">IF(C780="","",IFERROR(_xlfn.XLOOKUP(C780,Estoque!$A:$A,Estoque!$B:$B,""),""))</f>
        <v/>
      </c>
      <c r="E780" s="8"/>
      <c r="F780" s="8"/>
    </row>
    <row r="781" ht="15.75" customHeight="1">
      <c r="A781" s="9"/>
      <c r="B781" s="8"/>
      <c r="C781" s="8"/>
      <c r="D781" s="8" t="str">
        <f t="array" ref="D781">IF(C781="","",IFERROR(_xlfn.XLOOKUP(C781,Estoque!$A:$A,Estoque!$B:$B,""),""))</f>
        <v/>
      </c>
      <c r="E781" s="8"/>
      <c r="F781" s="8"/>
    </row>
    <row r="782" ht="15.75" customHeight="1">
      <c r="A782" s="9"/>
      <c r="B782" s="8"/>
      <c r="C782" s="8"/>
      <c r="D782" s="8" t="str">
        <f t="array" ref="D782">IF(C782="","",IFERROR(_xlfn.XLOOKUP(C782,Estoque!$A:$A,Estoque!$B:$B,""),""))</f>
        <v/>
      </c>
      <c r="E782" s="8"/>
      <c r="F782" s="8"/>
    </row>
    <row r="783" ht="15.75" customHeight="1">
      <c r="A783" s="9"/>
      <c r="B783" s="8"/>
      <c r="C783" s="8"/>
      <c r="D783" s="8" t="str">
        <f t="array" ref="D783">IF(C783="","",IFERROR(_xlfn.XLOOKUP(C783,Estoque!$A:$A,Estoque!$B:$B,""),""))</f>
        <v/>
      </c>
      <c r="E783" s="8"/>
      <c r="F783" s="8"/>
    </row>
    <row r="784" ht="15.75" customHeight="1">
      <c r="A784" s="9"/>
      <c r="B784" s="8"/>
      <c r="C784" s="8"/>
      <c r="D784" s="8" t="str">
        <f t="array" ref="D784">IF(C784="","",IFERROR(_xlfn.XLOOKUP(C784,Estoque!$A:$A,Estoque!$B:$B,""),""))</f>
        <v/>
      </c>
      <c r="E784" s="8"/>
      <c r="F784" s="8"/>
    </row>
    <row r="785" ht="15.75" customHeight="1">
      <c r="A785" s="9"/>
      <c r="B785" s="8"/>
      <c r="C785" s="8"/>
      <c r="D785" s="8" t="str">
        <f t="array" ref="D785">IF(C785="","",IFERROR(_xlfn.XLOOKUP(C785,Estoque!$A:$A,Estoque!$B:$B,""),""))</f>
        <v/>
      </c>
      <c r="E785" s="8"/>
      <c r="F785" s="8"/>
    </row>
    <row r="786" ht="15.75" customHeight="1">
      <c r="A786" s="9"/>
      <c r="B786" s="8"/>
      <c r="C786" s="8"/>
      <c r="D786" s="8" t="str">
        <f t="array" ref="D786">IF(C786="","",IFERROR(_xlfn.XLOOKUP(C786,Estoque!$A:$A,Estoque!$B:$B,""),""))</f>
        <v/>
      </c>
      <c r="E786" s="8"/>
      <c r="F786" s="8"/>
    </row>
    <row r="787" ht="15.75" customHeight="1">
      <c r="A787" s="9"/>
      <c r="B787" s="8"/>
      <c r="C787" s="8"/>
      <c r="D787" s="8" t="str">
        <f t="array" ref="D787">IF(C787="","",IFERROR(_xlfn.XLOOKUP(C787,Estoque!$A:$A,Estoque!$B:$B,""),""))</f>
        <v/>
      </c>
      <c r="E787" s="8"/>
      <c r="F787" s="8"/>
    </row>
    <row r="788" ht="15.75" customHeight="1">
      <c r="A788" s="9"/>
      <c r="B788" s="8"/>
      <c r="C788" s="8"/>
      <c r="D788" s="8" t="str">
        <f t="array" ref="D788">IF(C788="","",IFERROR(_xlfn.XLOOKUP(C788,Estoque!$A:$A,Estoque!$B:$B,""),""))</f>
        <v/>
      </c>
      <c r="E788" s="8"/>
      <c r="F788" s="8"/>
    </row>
    <row r="789" ht="15.75" customHeight="1">
      <c r="A789" s="9"/>
      <c r="B789" s="8"/>
      <c r="C789" s="8"/>
      <c r="D789" s="8" t="str">
        <f t="array" ref="D789">IF(C789="","",IFERROR(_xlfn.XLOOKUP(C789,Estoque!$A:$A,Estoque!$B:$B,""),""))</f>
        <v/>
      </c>
      <c r="E789" s="8"/>
      <c r="F789" s="8"/>
    </row>
    <row r="790" ht="15.75" customHeight="1">
      <c r="A790" s="9"/>
      <c r="B790" s="8"/>
      <c r="C790" s="8"/>
      <c r="D790" s="8" t="str">
        <f t="array" ref="D790">IF(C790="","",IFERROR(_xlfn.XLOOKUP(C790,Estoque!$A:$A,Estoque!$B:$B,""),""))</f>
        <v/>
      </c>
      <c r="E790" s="8"/>
      <c r="F790" s="8"/>
    </row>
    <row r="791" ht="15.75" customHeight="1">
      <c r="A791" s="9"/>
      <c r="B791" s="8"/>
      <c r="C791" s="8"/>
      <c r="D791" s="8" t="str">
        <f t="array" ref="D791">IF(C791="","",IFERROR(_xlfn.XLOOKUP(C791,Estoque!$A:$A,Estoque!$B:$B,""),""))</f>
        <v/>
      </c>
      <c r="E791" s="8"/>
      <c r="F791" s="8"/>
    </row>
    <row r="792" ht="15.75" customHeight="1">
      <c r="A792" s="9"/>
      <c r="B792" s="8"/>
      <c r="C792" s="8"/>
      <c r="D792" s="8" t="str">
        <f t="array" ref="D792">IF(C792="","",IFERROR(_xlfn.XLOOKUP(C792,Estoque!$A:$A,Estoque!$B:$B,""),""))</f>
        <v/>
      </c>
      <c r="E792" s="8"/>
      <c r="F792" s="8"/>
    </row>
    <row r="793" ht="15.75" customHeight="1">
      <c r="A793" s="9"/>
      <c r="B793" s="8"/>
      <c r="C793" s="8"/>
      <c r="D793" s="8" t="str">
        <f t="array" ref="D793">IF(C793="","",IFERROR(_xlfn.XLOOKUP(C793,Estoque!$A:$A,Estoque!$B:$B,""),""))</f>
        <v/>
      </c>
      <c r="E793" s="8"/>
      <c r="F793" s="8"/>
    </row>
    <row r="794" ht="15.75" customHeight="1">
      <c r="A794" s="9"/>
      <c r="B794" s="8"/>
      <c r="C794" s="8"/>
      <c r="D794" s="8" t="str">
        <f t="array" ref="D794">IF(C794="","",IFERROR(_xlfn.XLOOKUP(C794,Estoque!$A:$A,Estoque!$B:$B,""),""))</f>
        <v/>
      </c>
      <c r="E794" s="8"/>
      <c r="F794" s="8"/>
    </row>
    <row r="795" ht="15.75" customHeight="1">
      <c r="A795" s="9"/>
      <c r="B795" s="8"/>
      <c r="C795" s="8"/>
      <c r="D795" s="8" t="str">
        <f t="array" ref="D795">IF(C795="","",IFERROR(_xlfn.XLOOKUP(C795,Estoque!$A:$A,Estoque!$B:$B,""),""))</f>
        <v/>
      </c>
      <c r="E795" s="8"/>
      <c r="F795" s="8"/>
    </row>
    <row r="796" ht="15.75" customHeight="1">
      <c r="A796" s="9"/>
      <c r="B796" s="8"/>
      <c r="C796" s="8"/>
      <c r="D796" s="8" t="str">
        <f t="array" ref="D796">IF(C796="","",IFERROR(_xlfn.XLOOKUP(C796,Estoque!$A:$A,Estoque!$B:$B,""),""))</f>
        <v/>
      </c>
      <c r="E796" s="8"/>
      <c r="F796" s="8"/>
    </row>
    <row r="797" ht="15.75" customHeight="1">
      <c r="A797" s="9"/>
      <c r="B797" s="8"/>
      <c r="C797" s="8"/>
      <c r="D797" s="8" t="str">
        <f t="array" ref="D797">IF(C797="","",IFERROR(_xlfn.XLOOKUP(C797,Estoque!$A:$A,Estoque!$B:$B,""),""))</f>
        <v/>
      </c>
      <c r="E797" s="8"/>
      <c r="F797" s="8"/>
    </row>
    <row r="798" ht="15.75" customHeight="1">
      <c r="A798" s="9"/>
      <c r="B798" s="8"/>
      <c r="C798" s="8"/>
      <c r="D798" s="8" t="str">
        <f t="array" ref="D798">IF(C798="","",IFERROR(_xlfn.XLOOKUP(C798,Estoque!$A:$A,Estoque!$B:$B,""),""))</f>
        <v/>
      </c>
      <c r="E798" s="8"/>
      <c r="F798" s="8"/>
    </row>
    <row r="799" ht="15.75" customHeight="1">
      <c r="A799" s="9"/>
      <c r="B799" s="8"/>
      <c r="C799" s="8"/>
      <c r="D799" s="8" t="str">
        <f t="array" ref="D799">IF(C799="","",IFERROR(_xlfn.XLOOKUP(C799,Estoque!$A:$A,Estoque!$B:$B,""),""))</f>
        <v/>
      </c>
      <c r="E799" s="8"/>
      <c r="F799" s="8"/>
    </row>
    <row r="800" ht="15.75" customHeight="1">
      <c r="A800" s="9"/>
      <c r="B800" s="8"/>
      <c r="C800" s="8"/>
      <c r="D800" s="8" t="str">
        <f t="array" ref="D800">IF(C800="","",IFERROR(_xlfn.XLOOKUP(C800,Estoque!$A:$A,Estoque!$B:$B,""),""))</f>
        <v/>
      </c>
      <c r="E800" s="8"/>
      <c r="F800" s="8"/>
    </row>
    <row r="801" ht="15.75" customHeight="1">
      <c r="A801" s="9"/>
      <c r="B801" s="8"/>
      <c r="C801" s="8"/>
      <c r="D801" s="8" t="str">
        <f t="array" ref="D801">IF(C801="","",IFERROR(_xlfn.XLOOKUP(C801,Estoque!$A:$A,Estoque!$B:$B,""),""))</f>
        <v/>
      </c>
      <c r="E801" s="8"/>
      <c r="F801" s="8"/>
    </row>
    <row r="802" ht="15.75" customHeight="1">
      <c r="A802" s="9"/>
      <c r="B802" s="8"/>
      <c r="C802" s="8"/>
      <c r="D802" s="8" t="str">
        <f t="array" ref="D802">IF(C802="","",IFERROR(_xlfn.XLOOKUP(C802,Estoque!$A:$A,Estoque!$B:$B,""),""))</f>
        <v/>
      </c>
      <c r="E802" s="8"/>
      <c r="F802" s="8"/>
    </row>
    <row r="803" ht="15.75" customHeight="1">
      <c r="A803" s="9"/>
      <c r="B803" s="8"/>
      <c r="C803" s="8"/>
      <c r="D803" s="8" t="str">
        <f t="array" ref="D803">IF(C803="","",IFERROR(_xlfn.XLOOKUP(C803,Estoque!$A:$A,Estoque!$B:$B,""),""))</f>
        <v/>
      </c>
      <c r="E803" s="8"/>
      <c r="F803" s="8"/>
    </row>
    <row r="804" ht="15.75" customHeight="1">
      <c r="A804" s="9"/>
      <c r="B804" s="8"/>
      <c r="C804" s="8"/>
      <c r="D804" s="8" t="str">
        <f t="array" ref="D804">IF(C804="","",IFERROR(_xlfn.XLOOKUP(C804,Estoque!$A:$A,Estoque!$B:$B,""),""))</f>
        <v/>
      </c>
      <c r="E804" s="8"/>
      <c r="F804" s="8"/>
    </row>
    <row r="805" ht="15.75" customHeight="1">
      <c r="A805" s="9"/>
      <c r="B805" s="8"/>
      <c r="C805" s="8"/>
      <c r="D805" s="8" t="str">
        <f t="array" ref="D805">IF(C805="","",IFERROR(_xlfn.XLOOKUP(C805,Estoque!$A:$A,Estoque!$B:$B,""),""))</f>
        <v/>
      </c>
      <c r="E805" s="8"/>
      <c r="F805" s="8"/>
    </row>
    <row r="806" ht="15.75" customHeight="1">
      <c r="A806" s="9"/>
      <c r="B806" s="8"/>
      <c r="C806" s="8"/>
      <c r="D806" s="8" t="str">
        <f t="array" ref="D806">IF(C806="","",IFERROR(_xlfn.XLOOKUP(C806,Estoque!$A:$A,Estoque!$B:$B,""),""))</f>
        <v/>
      </c>
      <c r="E806" s="8"/>
      <c r="F806" s="8"/>
    </row>
    <row r="807" ht="15.75" customHeight="1">
      <c r="A807" s="9"/>
      <c r="B807" s="8"/>
      <c r="C807" s="8"/>
      <c r="D807" s="8" t="str">
        <f t="array" ref="D807">IF(C807="","",IFERROR(_xlfn.XLOOKUP(C807,Estoque!$A:$A,Estoque!$B:$B,""),""))</f>
        <v/>
      </c>
      <c r="E807" s="8"/>
      <c r="F807" s="8"/>
    </row>
    <row r="808" ht="15.75" customHeight="1">
      <c r="A808" s="9"/>
      <c r="B808" s="8"/>
      <c r="C808" s="8"/>
      <c r="D808" s="8" t="str">
        <f t="array" ref="D808">IF(C808="","",IFERROR(_xlfn.XLOOKUP(C808,Estoque!$A:$A,Estoque!$B:$B,""),""))</f>
        <v/>
      </c>
      <c r="E808" s="8"/>
      <c r="F808" s="8"/>
    </row>
    <row r="809" ht="15.75" customHeight="1">
      <c r="A809" s="9"/>
      <c r="B809" s="8"/>
      <c r="C809" s="8"/>
      <c r="D809" s="8" t="str">
        <f t="array" ref="D809">IF(C809="","",IFERROR(_xlfn.XLOOKUP(C809,Estoque!$A:$A,Estoque!$B:$B,""),""))</f>
        <v/>
      </c>
      <c r="E809" s="8"/>
      <c r="F809" s="8"/>
    </row>
    <row r="810" ht="15.75" customHeight="1">
      <c r="A810" s="9"/>
      <c r="B810" s="8"/>
      <c r="C810" s="8"/>
      <c r="D810" s="8" t="str">
        <f t="array" ref="D810">IF(C810="","",IFERROR(_xlfn.XLOOKUP(C810,Estoque!$A:$A,Estoque!$B:$B,""),""))</f>
        <v/>
      </c>
      <c r="E810" s="8"/>
      <c r="F810" s="8"/>
    </row>
    <row r="811" ht="15.75" customHeight="1">
      <c r="A811" s="9"/>
      <c r="B811" s="8"/>
      <c r="C811" s="8"/>
      <c r="D811" s="8" t="str">
        <f t="array" ref="D811">IF(C811="","",IFERROR(_xlfn.XLOOKUP(C811,Estoque!$A:$A,Estoque!$B:$B,""),""))</f>
        <v/>
      </c>
      <c r="E811" s="8"/>
      <c r="F811" s="8"/>
    </row>
    <row r="812" ht="15.75" customHeight="1">
      <c r="A812" s="9"/>
      <c r="B812" s="8"/>
      <c r="C812" s="8"/>
      <c r="D812" s="8" t="str">
        <f t="array" ref="D812">IF(C812="","",IFERROR(_xlfn.XLOOKUP(C812,Estoque!$A:$A,Estoque!$B:$B,""),""))</f>
        <v/>
      </c>
      <c r="E812" s="8"/>
      <c r="F812" s="8"/>
    </row>
    <row r="813" ht="15.75" customHeight="1">
      <c r="A813" s="9"/>
      <c r="B813" s="8"/>
      <c r="C813" s="8"/>
      <c r="D813" s="8" t="str">
        <f t="array" ref="D813">IF(C813="","",IFERROR(_xlfn.XLOOKUP(C813,Estoque!$A:$A,Estoque!$B:$B,""),""))</f>
        <v/>
      </c>
      <c r="E813" s="8"/>
      <c r="F813" s="8"/>
    </row>
    <row r="814" ht="15.75" customHeight="1">
      <c r="A814" s="9"/>
      <c r="B814" s="8"/>
      <c r="C814" s="8"/>
      <c r="D814" s="8" t="str">
        <f t="array" ref="D814">IF(C814="","",IFERROR(_xlfn.XLOOKUP(C814,Estoque!$A:$A,Estoque!$B:$B,""),""))</f>
        <v/>
      </c>
      <c r="E814" s="8"/>
      <c r="F814" s="8"/>
    </row>
    <row r="815" ht="15.75" customHeight="1">
      <c r="A815" s="9"/>
      <c r="B815" s="8"/>
      <c r="C815" s="8"/>
      <c r="D815" s="8" t="str">
        <f t="array" ref="D815">IF(C815="","",IFERROR(_xlfn.XLOOKUP(C815,Estoque!$A:$A,Estoque!$B:$B,""),""))</f>
        <v/>
      </c>
      <c r="E815" s="8"/>
      <c r="F815" s="8"/>
    </row>
    <row r="816" ht="15.75" customHeight="1">
      <c r="A816" s="9"/>
      <c r="B816" s="8"/>
      <c r="C816" s="8"/>
      <c r="D816" s="8" t="str">
        <f t="array" ref="D816">IF(C816="","",IFERROR(_xlfn.XLOOKUP(C816,Estoque!$A:$A,Estoque!$B:$B,""),""))</f>
        <v/>
      </c>
      <c r="E816" s="8"/>
      <c r="F816" s="8"/>
    </row>
    <row r="817" ht="15.75" customHeight="1">
      <c r="A817" s="9"/>
      <c r="B817" s="8"/>
      <c r="C817" s="8"/>
      <c r="D817" s="8" t="str">
        <f t="array" ref="D817">IF(C817="","",IFERROR(_xlfn.XLOOKUP(C817,Estoque!$A:$A,Estoque!$B:$B,""),""))</f>
        <v/>
      </c>
      <c r="E817" s="8"/>
      <c r="F817" s="8"/>
    </row>
    <row r="818" ht="15.75" customHeight="1">
      <c r="A818" s="9"/>
      <c r="B818" s="8"/>
      <c r="C818" s="8"/>
      <c r="D818" s="8" t="str">
        <f t="array" ref="D818">IF(C818="","",IFERROR(_xlfn.XLOOKUP(C818,Estoque!$A:$A,Estoque!$B:$B,""),""))</f>
        <v/>
      </c>
      <c r="E818" s="8"/>
      <c r="F818" s="8"/>
    </row>
    <row r="819" ht="15.75" customHeight="1">
      <c r="A819" s="9"/>
      <c r="B819" s="8"/>
      <c r="C819" s="8"/>
      <c r="D819" s="8" t="str">
        <f t="array" ref="D819">IF(C819="","",IFERROR(_xlfn.XLOOKUP(C819,Estoque!$A:$A,Estoque!$B:$B,""),""))</f>
        <v/>
      </c>
      <c r="E819" s="8"/>
      <c r="F819" s="8"/>
    </row>
    <row r="820" ht="15.75" customHeight="1">
      <c r="A820" s="9"/>
      <c r="B820" s="8"/>
      <c r="C820" s="8"/>
      <c r="D820" s="8" t="str">
        <f t="array" ref="D820">IF(C820="","",IFERROR(_xlfn.XLOOKUP(C820,Estoque!$A:$A,Estoque!$B:$B,""),""))</f>
        <v/>
      </c>
      <c r="E820" s="8"/>
      <c r="F820" s="8"/>
    </row>
    <row r="821" ht="15.75" customHeight="1">
      <c r="A821" s="9"/>
      <c r="B821" s="8"/>
      <c r="C821" s="8"/>
      <c r="D821" s="8" t="str">
        <f t="array" ref="D821">IF(C821="","",IFERROR(_xlfn.XLOOKUP(C821,Estoque!$A:$A,Estoque!$B:$B,""),""))</f>
        <v/>
      </c>
      <c r="E821" s="8"/>
      <c r="F821" s="8"/>
    </row>
    <row r="822" ht="15.75" customHeight="1">
      <c r="A822" s="9"/>
      <c r="B822" s="8"/>
      <c r="C822" s="8"/>
      <c r="D822" s="8" t="str">
        <f t="array" ref="D822">IF(C822="","",IFERROR(_xlfn.XLOOKUP(C822,Estoque!$A:$A,Estoque!$B:$B,""),""))</f>
        <v/>
      </c>
      <c r="E822" s="8"/>
      <c r="F822" s="8"/>
    </row>
    <row r="823" ht="15.75" customHeight="1">
      <c r="A823" s="9"/>
      <c r="B823" s="8"/>
      <c r="C823" s="8"/>
      <c r="D823" s="8" t="str">
        <f t="array" ref="D823">IF(C823="","",IFERROR(_xlfn.XLOOKUP(C823,Estoque!$A:$A,Estoque!$B:$B,""),""))</f>
        <v/>
      </c>
      <c r="E823" s="8"/>
      <c r="F823" s="8"/>
    </row>
    <row r="824" ht="15.75" customHeight="1">
      <c r="A824" s="9"/>
      <c r="B824" s="8"/>
      <c r="C824" s="8"/>
      <c r="D824" s="8" t="str">
        <f t="array" ref="D824">IF(C824="","",IFERROR(_xlfn.XLOOKUP(C824,Estoque!$A:$A,Estoque!$B:$B,""),""))</f>
        <v/>
      </c>
      <c r="E824" s="8"/>
      <c r="F824" s="8"/>
    </row>
    <row r="825" ht="15.75" customHeight="1">
      <c r="A825" s="9"/>
      <c r="B825" s="8"/>
      <c r="C825" s="8"/>
      <c r="D825" s="8" t="str">
        <f t="array" ref="D825">IF(C825="","",IFERROR(_xlfn.XLOOKUP(C825,Estoque!$A:$A,Estoque!$B:$B,""),""))</f>
        <v/>
      </c>
      <c r="E825" s="8"/>
      <c r="F825" s="8"/>
    </row>
    <row r="826" ht="15.75" customHeight="1">
      <c r="A826" s="9"/>
      <c r="B826" s="8"/>
      <c r="C826" s="8"/>
      <c r="D826" s="8" t="str">
        <f t="array" ref="D826">IF(C826="","",IFERROR(_xlfn.XLOOKUP(C826,Estoque!$A:$A,Estoque!$B:$B,""),""))</f>
        <v/>
      </c>
      <c r="E826" s="8"/>
      <c r="F826" s="8"/>
    </row>
    <row r="827" ht="15.75" customHeight="1">
      <c r="A827" s="9"/>
      <c r="B827" s="8"/>
      <c r="C827" s="8"/>
      <c r="D827" s="8" t="str">
        <f t="array" ref="D827">IF(C827="","",IFERROR(_xlfn.XLOOKUP(C827,Estoque!$A:$A,Estoque!$B:$B,""),""))</f>
        <v/>
      </c>
      <c r="E827" s="8"/>
      <c r="F827" s="8"/>
    </row>
    <row r="828" ht="15.75" customHeight="1">
      <c r="A828" s="9"/>
      <c r="B828" s="8"/>
      <c r="C828" s="8"/>
      <c r="D828" s="8" t="str">
        <f t="array" ref="D828">IF(C828="","",IFERROR(_xlfn.XLOOKUP(C828,Estoque!$A:$A,Estoque!$B:$B,""),""))</f>
        <v/>
      </c>
      <c r="E828" s="8"/>
      <c r="F828" s="8"/>
    </row>
    <row r="829" ht="15.75" customHeight="1">
      <c r="A829" s="9"/>
      <c r="B829" s="8"/>
      <c r="C829" s="8"/>
      <c r="D829" s="8" t="str">
        <f t="array" ref="D829">IF(C829="","",IFERROR(_xlfn.XLOOKUP(C829,Estoque!$A:$A,Estoque!$B:$B,""),""))</f>
        <v/>
      </c>
      <c r="E829" s="8"/>
      <c r="F829" s="8"/>
    </row>
    <row r="830" ht="15.75" customHeight="1">
      <c r="A830" s="9"/>
      <c r="B830" s="8"/>
      <c r="C830" s="8"/>
      <c r="D830" s="8" t="str">
        <f t="array" ref="D830">IF(C830="","",IFERROR(_xlfn.XLOOKUP(C830,Estoque!$A:$A,Estoque!$B:$B,""),""))</f>
        <v/>
      </c>
      <c r="E830" s="8"/>
      <c r="F830" s="8"/>
    </row>
    <row r="831" ht="15.75" customHeight="1">
      <c r="A831" s="9"/>
      <c r="B831" s="8"/>
      <c r="C831" s="8"/>
      <c r="D831" s="8" t="str">
        <f t="array" ref="D831">IF(C831="","",IFERROR(_xlfn.XLOOKUP(C831,Estoque!$A:$A,Estoque!$B:$B,""),""))</f>
        <v/>
      </c>
      <c r="E831" s="8"/>
      <c r="F831" s="8"/>
    </row>
    <row r="832" ht="15.75" customHeight="1">
      <c r="A832" s="9"/>
      <c r="B832" s="8"/>
      <c r="C832" s="8"/>
      <c r="D832" s="8" t="str">
        <f t="array" ref="D832">IF(C832="","",IFERROR(_xlfn.XLOOKUP(C832,Estoque!$A:$A,Estoque!$B:$B,""),""))</f>
        <v/>
      </c>
      <c r="E832" s="8"/>
      <c r="F832" s="8"/>
    </row>
    <row r="833" ht="15.75" customHeight="1">
      <c r="A833" s="9"/>
      <c r="B833" s="8"/>
      <c r="C833" s="8"/>
      <c r="D833" s="8" t="str">
        <f t="array" ref="D833">IF(C833="","",IFERROR(_xlfn.XLOOKUP(C833,Estoque!$A:$A,Estoque!$B:$B,""),""))</f>
        <v/>
      </c>
      <c r="E833" s="8"/>
      <c r="F833" s="8"/>
    </row>
    <row r="834" ht="15.75" customHeight="1">
      <c r="A834" s="9"/>
      <c r="B834" s="8"/>
      <c r="C834" s="8"/>
      <c r="D834" s="8" t="str">
        <f t="array" ref="D834">IF(C834="","",IFERROR(_xlfn.XLOOKUP(C834,Estoque!$A:$A,Estoque!$B:$B,""),""))</f>
        <v/>
      </c>
      <c r="E834" s="8"/>
      <c r="F834" s="8"/>
    </row>
    <row r="835" ht="15.75" customHeight="1">
      <c r="A835" s="9"/>
      <c r="B835" s="8"/>
      <c r="C835" s="8"/>
      <c r="D835" s="8" t="str">
        <f t="array" ref="D835">IF(C835="","",IFERROR(_xlfn.XLOOKUP(C835,Estoque!$A:$A,Estoque!$B:$B,""),""))</f>
        <v/>
      </c>
      <c r="E835" s="8"/>
      <c r="F835" s="8"/>
    </row>
    <row r="836" ht="15.75" customHeight="1">
      <c r="A836" s="9"/>
      <c r="B836" s="8"/>
      <c r="C836" s="8"/>
      <c r="D836" s="8" t="str">
        <f t="array" ref="D836">IF(C836="","",IFERROR(_xlfn.XLOOKUP(C836,Estoque!$A:$A,Estoque!$B:$B,""),""))</f>
        <v/>
      </c>
      <c r="E836" s="8"/>
      <c r="F836" s="8"/>
    </row>
    <row r="837" ht="15.75" customHeight="1">
      <c r="A837" s="9"/>
      <c r="B837" s="8"/>
      <c r="C837" s="8"/>
      <c r="D837" s="8" t="str">
        <f t="array" ref="D837">IF(C837="","",IFERROR(_xlfn.XLOOKUP(C837,Estoque!$A:$A,Estoque!$B:$B,""),""))</f>
        <v/>
      </c>
      <c r="E837" s="8"/>
      <c r="F837" s="8"/>
    </row>
    <row r="838" ht="15.75" customHeight="1">
      <c r="A838" s="9"/>
      <c r="B838" s="8"/>
      <c r="C838" s="8"/>
      <c r="D838" s="8" t="str">
        <f t="array" ref="D838">IF(C838="","",IFERROR(_xlfn.XLOOKUP(C838,Estoque!$A:$A,Estoque!$B:$B,""),""))</f>
        <v/>
      </c>
      <c r="E838" s="8"/>
      <c r="F838" s="8"/>
    </row>
    <row r="839" ht="15.75" customHeight="1">
      <c r="A839" s="9"/>
      <c r="B839" s="8"/>
      <c r="C839" s="8"/>
      <c r="D839" s="8" t="str">
        <f t="array" ref="D839">IF(C839="","",IFERROR(_xlfn.XLOOKUP(C839,Estoque!$A:$A,Estoque!$B:$B,""),""))</f>
        <v/>
      </c>
      <c r="E839" s="8"/>
      <c r="F839" s="8"/>
    </row>
    <row r="840" ht="15.75" customHeight="1">
      <c r="A840" s="9"/>
      <c r="B840" s="8"/>
      <c r="C840" s="8"/>
      <c r="D840" s="8" t="str">
        <f t="array" ref="D840">IF(C840="","",IFERROR(_xlfn.XLOOKUP(C840,Estoque!$A:$A,Estoque!$B:$B,""),""))</f>
        <v/>
      </c>
      <c r="E840" s="8"/>
      <c r="F840" s="8"/>
    </row>
    <row r="841" ht="15.75" customHeight="1">
      <c r="A841" s="9"/>
      <c r="B841" s="8"/>
      <c r="C841" s="8"/>
      <c r="D841" s="8" t="str">
        <f t="array" ref="D841">IF(C841="","",IFERROR(_xlfn.XLOOKUP(C841,Estoque!$A:$A,Estoque!$B:$B,""),""))</f>
        <v/>
      </c>
      <c r="E841" s="8"/>
      <c r="F841" s="8"/>
    </row>
    <row r="842" ht="15.75" customHeight="1">
      <c r="A842" s="9"/>
      <c r="B842" s="8"/>
      <c r="C842" s="8"/>
      <c r="D842" s="8" t="str">
        <f t="array" ref="D842">IF(C842="","",IFERROR(_xlfn.XLOOKUP(C842,Estoque!$A:$A,Estoque!$B:$B,""),""))</f>
        <v/>
      </c>
      <c r="E842" s="8"/>
      <c r="F842" s="8"/>
    </row>
    <row r="843" ht="15.75" customHeight="1">
      <c r="A843" s="9"/>
      <c r="B843" s="8"/>
      <c r="C843" s="8"/>
      <c r="D843" s="8" t="str">
        <f t="array" ref="D843">IF(C843="","",IFERROR(_xlfn.XLOOKUP(C843,Estoque!$A:$A,Estoque!$B:$B,""),""))</f>
        <v/>
      </c>
      <c r="E843" s="8"/>
      <c r="F843" s="8"/>
    </row>
    <row r="844" ht="15.75" customHeight="1">
      <c r="A844" s="9"/>
      <c r="B844" s="8"/>
      <c r="C844" s="8"/>
      <c r="D844" s="8" t="str">
        <f t="array" ref="D844">IF(C844="","",IFERROR(_xlfn.XLOOKUP(C844,Estoque!$A:$A,Estoque!$B:$B,""),""))</f>
        <v/>
      </c>
      <c r="E844" s="8"/>
      <c r="F844" s="8"/>
    </row>
    <row r="845" ht="15.75" customHeight="1">
      <c r="A845" s="9"/>
      <c r="B845" s="8"/>
      <c r="C845" s="8"/>
      <c r="D845" s="8" t="str">
        <f t="array" ref="D845">IF(C845="","",IFERROR(_xlfn.XLOOKUP(C845,Estoque!$A:$A,Estoque!$B:$B,""),""))</f>
        <v/>
      </c>
      <c r="E845" s="8"/>
      <c r="F845" s="8"/>
    </row>
    <row r="846" ht="15.75" customHeight="1">
      <c r="A846" s="9"/>
      <c r="B846" s="8"/>
      <c r="C846" s="8"/>
      <c r="D846" s="8" t="str">
        <f t="array" ref="D846">IF(C846="","",IFERROR(_xlfn.XLOOKUP(C846,Estoque!$A:$A,Estoque!$B:$B,""),""))</f>
        <v/>
      </c>
      <c r="E846" s="8"/>
      <c r="F846" s="8"/>
    </row>
    <row r="847" ht="15.75" customHeight="1">
      <c r="A847" s="9"/>
      <c r="B847" s="8"/>
      <c r="C847" s="8"/>
      <c r="D847" s="8" t="str">
        <f t="array" ref="D847">IF(C847="","",IFERROR(_xlfn.XLOOKUP(C847,Estoque!$A:$A,Estoque!$B:$B,""),""))</f>
        <v/>
      </c>
      <c r="E847" s="8"/>
      <c r="F847" s="8"/>
    </row>
    <row r="848" ht="15.75" customHeight="1">
      <c r="A848" s="9"/>
      <c r="B848" s="8"/>
      <c r="C848" s="8"/>
      <c r="D848" s="8" t="str">
        <f t="array" ref="D848">IF(C848="","",IFERROR(_xlfn.XLOOKUP(C848,Estoque!$A:$A,Estoque!$B:$B,""),""))</f>
        <v/>
      </c>
      <c r="E848" s="8"/>
      <c r="F848" s="8"/>
    </row>
    <row r="849" ht="15.75" customHeight="1">
      <c r="A849" s="9"/>
      <c r="B849" s="8"/>
      <c r="C849" s="8"/>
      <c r="D849" s="8" t="str">
        <f t="array" ref="D849">IF(C849="","",IFERROR(_xlfn.XLOOKUP(C849,Estoque!$A:$A,Estoque!$B:$B,""),""))</f>
        <v/>
      </c>
      <c r="E849" s="8"/>
      <c r="F849" s="8"/>
    </row>
    <row r="850" ht="15.75" customHeight="1">
      <c r="A850" s="9"/>
      <c r="B850" s="8"/>
      <c r="C850" s="8"/>
      <c r="D850" s="8" t="str">
        <f t="array" ref="D850">IF(C850="","",IFERROR(_xlfn.XLOOKUP(C850,Estoque!$A:$A,Estoque!$B:$B,""),""))</f>
        <v/>
      </c>
      <c r="E850" s="8"/>
      <c r="F850" s="8"/>
    </row>
    <row r="851" ht="15.75" customHeight="1">
      <c r="A851" s="9"/>
      <c r="B851" s="8"/>
      <c r="C851" s="8"/>
      <c r="D851" s="8" t="str">
        <f t="array" ref="D851">IF(C851="","",IFERROR(_xlfn.XLOOKUP(C851,Estoque!$A:$A,Estoque!$B:$B,""),""))</f>
        <v/>
      </c>
      <c r="E851" s="8"/>
      <c r="F851" s="8"/>
    </row>
    <row r="852" ht="15.75" customHeight="1">
      <c r="A852" s="9"/>
      <c r="B852" s="8"/>
      <c r="C852" s="8"/>
      <c r="D852" s="8" t="str">
        <f t="array" ref="D852">IF(C852="","",IFERROR(_xlfn.XLOOKUP(C852,Estoque!$A:$A,Estoque!$B:$B,""),""))</f>
        <v/>
      </c>
      <c r="E852" s="8"/>
      <c r="F852" s="8"/>
    </row>
    <row r="853" ht="15.75" customHeight="1">
      <c r="A853" s="9"/>
      <c r="B853" s="8"/>
      <c r="C853" s="8"/>
      <c r="D853" s="8" t="str">
        <f t="array" ref="D853">IF(C853="","",IFERROR(_xlfn.XLOOKUP(C853,Estoque!$A:$A,Estoque!$B:$B,""),""))</f>
        <v/>
      </c>
      <c r="E853" s="8"/>
      <c r="F853" s="8"/>
    </row>
    <row r="854" ht="15.75" customHeight="1">
      <c r="A854" s="9"/>
      <c r="B854" s="8"/>
      <c r="C854" s="8"/>
      <c r="D854" s="8" t="str">
        <f t="array" ref="D854">IF(C854="","",IFERROR(_xlfn.XLOOKUP(C854,Estoque!$A:$A,Estoque!$B:$B,""),""))</f>
        <v/>
      </c>
      <c r="E854" s="8"/>
      <c r="F854" s="8"/>
    </row>
    <row r="855" ht="15.75" customHeight="1">
      <c r="A855" s="9"/>
      <c r="B855" s="8"/>
      <c r="C855" s="8"/>
      <c r="D855" s="8" t="str">
        <f t="array" ref="D855">IF(C855="","",IFERROR(_xlfn.XLOOKUP(C855,Estoque!$A:$A,Estoque!$B:$B,""),""))</f>
        <v/>
      </c>
      <c r="E855" s="8"/>
      <c r="F855" s="8"/>
    </row>
    <row r="856" ht="15.75" customHeight="1">
      <c r="A856" s="9"/>
      <c r="B856" s="8"/>
      <c r="C856" s="8"/>
      <c r="D856" s="8" t="str">
        <f t="array" ref="D856">IF(C856="","",IFERROR(_xlfn.XLOOKUP(C856,Estoque!$A:$A,Estoque!$B:$B,""),""))</f>
        <v/>
      </c>
      <c r="E856" s="8"/>
      <c r="F856" s="8"/>
    </row>
    <row r="857" ht="15.75" customHeight="1">
      <c r="A857" s="9"/>
      <c r="B857" s="8"/>
      <c r="C857" s="8"/>
      <c r="D857" s="8" t="str">
        <f t="array" ref="D857">IF(C857="","",IFERROR(_xlfn.XLOOKUP(C857,Estoque!$A:$A,Estoque!$B:$B,""),""))</f>
        <v/>
      </c>
      <c r="E857" s="8"/>
      <c r="F857" s="8"/>
    </row>
    <row r="858" ht="15.75" customHeight="1">
      <c r="A858" s="9"/>
      <c r="B858" s="8"/>
      <c r="C858" s="8"/>
      <c r="D858" s="8" t="str">
        <f t="array" ref="D858">IF(C858="","",IFERROR(_xlfn.XLOOKUP(C858,Estoque!$A:$A,Estoque!$B:$B,""),""))</f>
        <v/>
      </c>
      <c r="E858" s="8"/>
      <c r="F858" s="8"/>
    </row>
    <row r="859" ht="15.75" customHeight="1">
      <c r="A859" s="9"/>
      <c r="B859" s="8"/>
      <c r="C859" s="8"/>
      <c r="D859" s="8" t="str">
        <f t="array" ref="D859">IF(C859="","",IFERROR(_xlfn.XLOOKUP(C859,Estoque!$A:$A,Estoque!$B:$B,""),""))</f>
        <v/>
      </c>
      <c r="E859" s="8"/>
      <c r="F859" s="8"/>
    </row>
    <row r="860" ht="15.75" customHeight="1">
      <c r="A860" s="9"/>
      <c r="B860" s="8"/>
      <c r="C860" s="8"/>
      <c r="D860" s="8" t="str">
        <f t="array" ref="D860">IF(C860="","",IFERROR(_xlfn.XLOOKUP(C860,Estoque!$A:$A,Estoque!$B:$B,""),""))</f>
        <v/>
      </c>
      <c r="E860" s="8"/>
      <c r="F860" s="8"/>
    </row>
    <row r="861" ht="15.75" customHeight="1">
      <c r="A861" s="9"/>
      <c r="B861" s="8"/>
      <c r="C861" s="8"/>
      <c r="D861" s="8" t="str">
        <f t="array" ref="D861">IF(C861="","",IFERROR(_xlfn.XLOOKUP(C861,Estoque!$A:$A,Estoque!$B:$B,""),""))</f>
        <v/>
      </c>
      <c r="E861" s="8"/>
      <c r="F861" s="8"/>
    </row>
    <row r="862" ht="15.75" customHeight="1">
      <c r="A862" s="9"/>
      <c r="B862" s="8"/>
      <c r="C862" s="8"/>
      <c r="D862" s="8" t="str">
        <f t="array" ref="D862">IF(C862="","",IFERROR(_xlfn.XLOOKUP(C862,Estoque!$A:$A,Estoque!$B:$B,""),""))</f>
        <v/>
      </c>
      <c r="E862" s="8"/>
      <c r="F862" s="8"/>
    </row>
    <row r="863" ht="15.75" customHeight="1">
      <c r="A863" s="9"/>
      <c r="B863" s="8"/>
      <c r="C863" s="8"/>
      <c r="D863" s="8" t="str">
        <f t="array" ref="D863">IF(C863="","",IFERROR(_xlfn.XLOOKUP(C863,Estoque!$A:$A,Estoque!$B:$B,""),""))</f>
        <v/>
      </c>
      <c r="E863" s="8"/>
      <c r="F863" s="8"/>
    </row>
    <row r="864" ht="15.75" customHeight="1">
      <c r="A864" s="9"/>
      <c r="B864" s="8"/>
      <c r="C864" s="8"/>
      <c r="D864" s="8" t="str">
        <f t="array" ref="D864">IF(C864="","",IFERROR(_xlfn.XLOOKUP(C864,Estoque!$A:$A,Estoque!$B:$B,""),""))</f>
        <v/>
      </c>
      <c r="E864" s="8"/>
      <c r="F864" s="8"/>
    </row>
    <row r="865" ht="15.75" customHeight="1">
      <c r="A865" s="9"/>
      <c r="B865" s="8"/>
      <c r="C865" s="8"/>
      <c r="D865" s="8" t="str">
        <f t="array" ref="D865">IF(C865="","",IFERROR(_xlfn.XLOOKUP(C865,Estoque!$A:$A,Estoque!$B:$B,""),""))</f>
        <v/>
      </c>
      <c r="E865" s="8"/>
      <c r="F865" s="8"/>
    </row>
    <row r="866" ht="15.75" customHeight="1">
      <c r="A866" s="9"/>
      <c r="B866" s="8"/>
      <c r="C866" s="8"/>
      <c r="D866" s="8" t="str">
        <f t="array" ref="D866">IF(C866="","",IFERROR(_xlfn.XLOOKUP(C866,Estoque!$A:$A,Estoque!$B:$B,""),""))</f>
        <v/>
      </c>
      <c r="E866" s="8"/>
      <c r="F866" s="8"/>
    </row>
    <row r="867" ht="15.75" customHeight="1">
      <c r="A867" s="9"/>
      <c r="B867" s="8"/>
      <c r="C867" s="8"/>
      <c r="D867" s="8" t="str">
        <f t="array" ref="D867">IF(C867="","",IFERROR(_xlfn.XLOOKUP(C867,Estoque!$A:$A,Estoque!$B:$B,""),""))</f>
        <v/>
      </c>
      <c r="E867" s="8"/>
      <c r="F867" s="8"/>
    </row>
    <row r="868" ht="15.75" customHeight="1">
      <c r="A868" s="9"/>
      <c r="B868" s="8"/>
      <c r="C868" s="8"/>
      <c r="D868" s="8" t="str">
        <f t="array" ref="D868">IF(C868="","",IFERROR(_xlfn.XLOOKUP(C868,Estoque!$A:$A,Estoque!$B:$B,""),""))</f>
        <v/>
      </c>
      <c r="E868" s="8"/>
      <c r="F868" s="8"/>
    </row>
    <row r="869" ht="15.75" customHeight="1">
      <c r="A869" s="9"/>
      <c r="B869" s="8"/>
      <c r="C869" s="8"/>
      <c r="D869" s="8" t="str">
        <f t="array" ref="D869">IF(C869="","",IFERROR(_xlfn.XLOOKUP(C869,Estoque!$A:$A,Estoque!$B:$B,""),""))</f>
        <v/>
      </c>
      <c r="E869" s="8"/>
      <c r="F869" s="8"/>
    </row>
    <row r="870" ht="15.75" customHeight="1">
      <c r="A870" s="9"/>
      <c r="B870" s="8"/>
      <c r="C870" s="8"/>
      <c r="D870" s="8" t="str">
        <f t="array" ref="D870">IF(C870="","",IFERROR(_xlfn.XLOOKUP(C870,Estoque!$A:$A,Estoque!$B:$B,""),""))</f>
        <v/>
      </c>
      <c r="E870" s="8"/>
      <c r="F870" s="8"/>
    </row>
    <row r="871" ht="15.75" customHeight="1">
      <c r="A871" s="9"/>
      <c r="B871" s="8"/>
      <c r="C871" s="8"/>
      <c r="D871" s="8" t="str">
        <f t="array" ref="D871">IF(C871="","",IFERROR(_xlfn.XLOOKUP(C871,Estoque!$A:$A,Estoque!$B:$B,""),""))</f>
        <v/>
      </c>
      <c r="E871" s="8"/>
      <c r="F871" s="8"/>
    </row>
    <row r="872" ht="15.75" customHeight="1">
      <c r="A872" s="9"/>
      <c r="B872" s="8"/>
      <c r="C872" s="8"/>
      <c r="D872" s="8" t="str">
        <f t="array" ref="D872">IF(C872="","",IFERROR(_xlfn.XLOOKUP(C872,Estoque!$A:$A,Estoque!$B:$B,""),""))</f>
        <v/>
      </c>
      <c r="E872" s="8"/>
      <c r="F872" s="8"/>
    </row>
    <row r="873" ht="15.75" customHeight="1">
      <c r="A873" s="9"/>
      <c r="B873" s="8"/>
      <c r="C873" s="8"/>
      <c r="D873" s="8" t="str">
        <f t="array" ref="D873">IF(C873="","",IFERROR(_xlfn.XLOOKUP(C873,Estoque!$A:$A,Estoque!$B:$B,""),""))</f>
        <v/>
      </c>
      <c r="E873" s="8"/>
      <c r="F873" s="8"/>
    </row>
    <row r="874" ht="15.75" customHeight="1">
      <c r="A874" s="9"/>
      <c r="B874" s="8"/>
      <c r="C874" s="8"/>
      <c r="D874" s="8" t="str">
        <f t="array" ref="D874">IF(C874="","",IFERROR(_xlfn.XLOOKUP(C874,Estoque!$A:$A,Estoque!$B:$B,""),""))</f>
        <v/>
      </c>
      <c r="E874" s="8"/>
      <c r="F874" s="8"/>
    </row>
    <row r="875" ht="15.75" customHeight="1">
      <c r="A875" s="9"/>
      <c r="B875" s="8"/>
      <c r="C875" s="8"/>
      <c r="D875" s="8" t="str">
        <f t="array" ref="D875">IF(C875="","",IFERROR(_xlfn.XLOOKUP(C875,Estoque!$A:$A,Estoque!$B:$B,""),""))</f>
        <v/>
      </c>
      <c r="E875" s="8"/>
      <c r="F875" s="8"/>
    </row>
    <row r="876" ht="15.75" customHeight="1">
      <c r="A876" s="9"/>
      <c r="B876" s="8"/>
      <c r="C876" s="8"/>
      <c r="D876" s="8" t="str">
        <f t="array" ref="D876">IF(C876="","",IFERROR(_xlfn.XLOOKUP(C876,Estoque!$A:$A,Estoque!$B:$B,""),""))</f>
        <v/>
      </c>
      <c r="E876" s="8"/>
      <c r="F876" s="8"/>
    </row>
    <row r="877" ht="15.75" customHeight="1">
      <c r="A877" s="9"/>
      <c r="B877" s="8"/>
      <c r="C877" s="8"/>
      <c r="D877" s="8" t="str">
        <f t="array" ref="D877">IF(C877="","",IFERROR(_xlfn.XLOOKUP(C877,Estoque!$A:$A,Estoque!$B:$B,""),""))</f>
        <v/>
      </c>
      <c r="E877" s="8"/>
      <c r="F877" s="8"/>
    </row>
    <row r="878" ht="15.75" customHeight="1">
      <c r="A878" s="9"/>
      <c r="B878" s="8"/>
      <c r="C878" s="8"/>
      <c r="D878" s="8" t="str">
        <f t="array" ref="D878">IF(C878="","",IFERROR(_xlfn.XLOOKUP(C878,Estoque!$A:$A,Estoque!$B:$B,""),""))</f>
        <v/>
      </c>
      <c r="E878" s="8"/>
      <c r="F878" s="8"/>
    </row>
    <row r="879" ht="15.75" customHeight="1">
      <c r="A879" s="9"/>
      <c r="B879" s="8"/>
      <c r="C879" s="8"/>
      <c r="D879" s="8" t="str">
        <f t="array" ref="D879">IF(C879="","",IFERROR(_xlfn.XLOOKUP(C879,Estoque!$A:$A,Estoque!$B:$B,""),""))</f>
        <v/>
      </c>
      <c r="E879" s="8"/>
      <c r="F879" s="8"/>
    </row>
    <row r="880" ht="15.75" customHeight="1">
      <c r="A880" s="9"/>
      <c r="B880" s="8"/>
      <c r="C880" s="8"/>
      <c r="D880" s="8" t="str">
        <f t="array" ref="D880">IF(C880="","",IFERROR(_xlfn.XLOOKUP(C880,Estoque!$A:$A,Estoque!$B:$B,""),""))</f>
        <v/>
      </c>
      <c r="E880" s="8"/>
      <c r="F880" s="8"/>
    </row>
    <row r="881" ht="15.75" customHeight="1">
      <c r="A881" s="9"/>
      <c r="B881" s="8"/>
      <c r="C881" s="8"/>
      <c r="D881" s="8" t="str">
        <f t="array" ref="D881">IF(C881="","",IFERROR(_xlfn.XLOOKUP(C881,Estoque!$A:$A,Estoque!$B:$B,""),""))</f>
        <v/>
      </c>
      <c r="E881" s="8"/>
      <c r="F881" s="8"/>
    </row>
    <row r="882" ht="15.75" customHeight="1">
      <c r="A882" s="9"/>
      <c r="B882" s="8"/>
      <c r="C882" s="8"/>
      <c r="D882" s="8" t="str">
        <f t="array" ref="D882">IF(C882="","",IFERROR(_xlfn.XLOOKUP(C882,Estoque!$A:$A,Estoque!$B:$B,""),""))</f>
        <v/>
      </c>
      <c r="E882" s="8"/>
      <c r="F882" s="8"/>
    </row>
    <row r="883" ht="15.75" customHeight="1">
      <c r="A883" s="9"/>
      <c r="B883" s="8"/>
      <c r="C883" s="8"/>
      <c r="D883" s="8" t="str">
        <f t="array" ref="D883">IF(C883="","",IFERROR(_xlfn.XLOOKUP(C883,Estoque!$A:$A,Estoque!$B:$B,""),""))</f>
        <v/>
      </c>
      <c r="E883" s="8"/>
      <c r="F883" s="8"/>
    </row>
    <row r="884" ht="15.75" customHeight="1">
      <c r="A884" s="9"/>
      <c r="B884" s="8"/>
      <c r="C884" s="8"/>
      <c r="D884" s="8" t="str">
        <f t="array" ref="D884">IF(C884="","",IFERROR(_xlfn.XLOOKUP(C884,Estoque!$A:$A,Estoque!$B:$B,""),""))</f>
        <v/>
      </c>
      <c r="E884" s="8"/>
      <c r="F884" s="8"/>
    </row>
    <row r="885" ht="15.75" customHeight="1">
      <c r="A885" s="9"/>
      <c r="B885" s="8"/>
      <c r="C885" s="8"/>
      <c r="D885" s="8" t="str">
        <f t="array" ref="D885">IF(C885="","",IFERROR(_xlfn.XLOOKUP(C885,Estoque!$A:$A,Estoque!$B:$B,""),""))</f>
        <v/>
      </c>
      <c r="E885" s="8"/>
      <c r="F885" s="8"/>
    </row>
    <row r="886" ht="15.75" customHeight="1">
      <c r="A886" s="9"/>
      <c r="B886" s="8"/>
      <c r="C886" s="8"/>
      <c r="D886" s="8" t="str">
        <f t="array" ref="D886">IF(C886="","",IFERROR(_xlfn.XLOOKUP(C886,Estoque!$A:$A,Estoque!$B:$B,""),""))</f>
        <v/>
      </c>
      <c r="E886" s="8"/>
      <c r="F886" s="8"/>
    </row>
    <row r="887" ht="15.75" customHeight="1">
      <c r="A887" s="9"/>
      <c r="B887" s="8"/>
      <c r="C887" s="8"/>
      <c r="D887" s="8" t="str">
        <f t="array" ref="D887">IF(C887="","",IFERROR(_xlfn.XLOOKUP(C887,Estoque!$A:$A,Estoque!$B:$B,""),""))</f>
        <v/>
      </c>
      <c r="E887" s="8"/>
      <c r="F887" s="8"/>
    </row>
    <row r="888" ht="15.75" customHeight="1">
      <c r="A888" s="9"/>
      <c r="B888" s="8"/>
      <c r="C888" s="8"/>
      <c r="D888" s="8" t="str">
        <f t="array" ref="D888">IF(C888="","",IFERROR(_xlfn.XLOOKUP(C888,Estoque!$A:$A,Estoque!$B:$B,""),""))</f>
        <v/>
      </c>
      <c r="E888" s="8"/>
      <c r="F888" s="8"/>
    </row>
    <row r="889" ht="15.75" customHeight="1">
      <c r="A889" s="9"/>
      <c r="B889" s="8"/>
      <c r="C889" s="8"/>
      <c r="D889" s="8" t="str">
        <f t="array" ref="D889">IF(C889="","",IFERROR(_xlfn.XLOOKUP(C889,Estoque!$A:$A,Estoque!$B:$B,""),""))</f>
        <v/>
      </c>
      <c r="E889" s="8"/>
      <c r="F889" s="8"/>
    </row>
    <row r="890" ht="15.75" customHeight="1">
      <c r="A890" s="9"/>
      <c r="B890" s="8"/>
      <c r="C890" s="8"/>
      <c r="D890" s="8" t="str">
        <f t="array" ref="D890">IF(C890="","",IFERROR(_xlfn.XLOOKUP(C890,Estoque!$A:$A,Estoque!$B:$B,""),""))</f>
        <v/>
      </c>
      <c r="E890" s="8"/>
      <c r="F890" s="8"/>
    </row>
    <row r="891" ht="15.75" customHeight="1">
      <c r="A891" s="9"/>
      <c r="B891" s="8"/>
      <c r="C891" s="8"/>
      <c r="D891" s="8" t="str">
        <f t="array" ref="D891">IF(C891="","",IFERROR(_xlfn.XLOOKUP(C891,Estoque!$A:$A,Estoque!$B:$B,""),""))</f>
        <v/>
      </c>
      <c r="E891" s="8"/>
      <c r="F891" s="8"/>
    </row>
    <row r="892" ht="15.75" customHeight="1">
      <c r="A892" s="9"/>
      <c r="B892" s="8"/>
      <c r="C892" s="8"/>
      <c r="D892" s="8" t="str">
        <f t="array" ref="D892">IF(C892="","",IFERROR(_xlfn.XLOOKUP(C892,Estoque!$A:$A,Estoque!$B:$B,""),""))</f>
        <v/>
      </c>
      <c r="E892" s="8"/>
      <c r="F892" s="8"/>
    </row>
    <row r="893" ht="15.75" customHeight="1">
      <c r="A893" s="9"/>
      <c r="B893" s="8"/>
      <c r="C893" s="8"/>
      <c r="D893" s="8" t="str">
        <f t="array" ref="D893">IF(C893="","",IFERROR(_xlfn.XLOOKUP(C893,Estoque!$A:$A,Estoque!$B:$B,""),""))</f>
        <v/>
      </c>
      <c r="E893" s="8"/>
      <c r="F893" s="8"/>
    </row>
    <row r="894" ht="15.75" customHeight="1">
      <c r="A894" s="9"/>
      <c r="B894" s="8"/>
      <c r="C894" s="8"/>
      <c r="D894" s="8" t="str">
        <f t="array" ref="D894">IF(C894="","",IFERROR(_xlfn.XLOOKUP(C894,Estoque!$A:$A,Estoque!$B:$B,""),""))</f>
        <v/>
      </c>
      <c r="E894" s="8"/>
      <c r="F894" s="8"/>
    </row>
    <row r="895" ht="15.75" customHeight="1">
      <c r="A895" s="9"/>
      <c r="B895" s="8"/>
      <c r="C895" s="8"/>
      <c r="D895" s="8" t="str">
        <f t="array" ref="D895">IF(C895="","",IFERROR(_xlfn.XLOOKUP(C895,Estoque!$A:$A,Estoque!$B:$B,""),""))</f>
        <v/>
      </c>
      <c r="E895" s="8"/>
      <c r="F895" s="8"/>
    </row>
    <row r="896" ht="15.75" customHeight="1">
      <c r="A896" s="9"/>
      <c r="B896" s="8"/>
      <c r="C896" s="8"/>
      <c r="D896" s="8" t="str">
        <f t="array" ref="D896">IF(C896="","",IFERROR(_xlfn.XLOOKUP(C896,Estoque!$A:$A,Estoque!$B:$B,""),""))</f>
        <v/>
      </c>
      <c r="E896" s="8"/>
      <c r="F896" s="8"/>
    </row>
    <row r="897" ht="15.75" customHeight="1">
      <c r="A897" s="9"/>
      <c r="B897" s="8"/>
      <c r="C897" s="8"/>
      <c r="D897" s="8" t="str">
        <f t="array" ref="D897">IF(C897="","",IFERROR(_xlfn.XLOOKUP(C897,Estoque!$A:$A,Estoque!$B:$B,""),""))</f>
        <v/>
      </c>
      <c r="E897" s="8"/>
      <c r="F897" s="8"/>
    </row>
    <row r="898" ht="15.75" customHeight="1">
      <c r="A898" s="9"/>
      <c r="B898" s="8"/>
      <c r="C898" s="8"/>
      <c r="D898" s="8" t="str">
        <f t="array" ref="D898">IF(C898="","",IFERROR(_xlfn.XLOOKUP(C898,Estoque!$A:$A,Estoque!$B:$B,""),""))</f>
        <v/>
      </c>
      <c r="E898" s="8"/>
      <c r="F898" s="8"/>
    </row>
    <row r="899" ht="15.75" customHeight="1">
      <c r="A899" s="9"/>
      <c r="B899" s="8"/>
      <c r="C899" s="8"/>
      <c r="D899" s="8" t="str">
        <f t="array" ref="D899">IF(C899="","",IFERROR(_xlfn.XLOOKUP(C899,Estoque!$A:$A,Estoque!$B:$B,""),""))</f>
        <v/>
      </c>
      <c r="E899" s="8"/>
      <c r="F899" s="8"/>
    </row>
    <row r="900" ht="15.75" customHeight="1">
      <c r="A900" s="9"/>
      <c r="B900" s="8"/>
      <c r="C900" s="8"/>
      <c r="D900" s="8" t="str">
        <f t="array" ref="D900">IF(C900="","",IFERROR(_xlfn.XLOOKUP(C900,Estoque!$A:$A,Estoque!$B:$B,""),""))</f>
        <v/>
      </c>
      <c r="E900" s="8"/>
      <c r="F900" s="8"/>
    </row>
    <row r="901" ht="15.75" customHeight="1">
      <c r="A901" s="9"/>
      <c r="B901" s="8"/>
      <c r="C901" s="8"/>
      <c r="D901" s="8" t="str">
        <f t="array" ref="D901">IF(C901="","",IFERROR(_xlfn.XLOOKUP(C901,Estoque!$A:$A,Estoque!$B:$B,""),""))</f>
        <v/>
      </c>
      <c r="E901" s="8"/>
      <c r="F901" s="8"/>
    </row>
    <row r="902" ht="15.75" customHeight="1">
      <c r="A902" s="9"/>
      <c r="B902" s="8"/>
      <c r="C902" s="8"/>
      <c r="D902" s="8" t="str">
        <f t="array" ref="D902">IF(C902="","",IFERROR(_xlfn.XLOOKUP(C902,Estoque!$A:$A,Estoque!$B:$B,""),""))</f>
        <v/>
      </c>
      <c r="E902" s="8"/>
      <c r="F902" s="8"/>
    </row>
    <row r="903" ht="15.75" customHeight="1">
      <c r="A903" s="9"/>
      <c r="B903" s="8"/>
      <c r="C903" s="8"/>
      <c r="D903" s="8" t="str">
        <f t="array" ref="D903">IF(C903="","",IFERROR(_xlfn.XLOOKUP(C903,Estoque!$A:$A,Estoque!$B:$B,""),""))</f>
        <v/>
      </c>
      <c r="E903" s="8"/>
      <c r="F903" s="8"/>
    </row>
    <row r="904" ht="15.75" customHeight="1">
      <c r="A904" s="9"/>
      <c r="B904" s="8"/>
      <c r="C904" s="8"/>
      <c r="D904" s="8" t="str">
        <f t="array" ref="D904">IF(C904="","",IFERROR(_xlfn.XLOOKUP(C904,Estoque!$A:$A,Estoque!$B:$B,""),""))</f>
        <v/>
      </c>
      <c r="E904" s="8"/>
      <c r="F904" s="8"/>
    </row>
    <row r="905" ht="15.75" customHeight="1">
      <c r="A905" s="9"/>
      <c r="B905" s="8"/>
      <c r="C905" s="8"/>
      <c r="D905" s="8" t="str">
        <f t="array" ref="D905">IF(C905="","",IFERROR(_xlfn.XLOOKUP(C905,Estoque!$A:$A,Estoque!$B:$B,""),""))</f>
        <v/>
      </c>
      <c r="E905" s="8"/>
      <c r="F905" s="8"/>
    </row>
    <row r="906" ht="15.75" customHeight="1">
      <c r="A906" s="9"/>
      <c r="B906" s="8"/>
      <c r="C906" s="8"/>
      <c r="D906" s="8" t="str">
        <f t="array" ref="D906">IF(C906="","",IFERROR(_xlfn.XLOOKUP(C906,Estoque!$A:$A,Estoque!$B:$B,""),""))</f>
        <v/>
      </c>
      <c r="E906" s="8"/>
      <c r="F906" s="8"/>
    </row>
    <row r="907" ht="15.75" customHeight="1">
      <c r="A907" s="9"/>
      <c r="B907" s="8"/>
      <c r="C907" s="8"/>
      <c r="D907" s="8" t="str">
        <f t="array" ref="D907">IF(C907="","",IFERROR(_xlfn.XLOOKUP(C907,Estoque!$A:$A,Estoque!$B:$B,""),""))</f>
        <v/>
      </c>
      <c r="E907" s="8"/>
      <c r="F907" s="8"/>
    </row>
    <row r="908" ht="15.75" customHeight="1">
      <c r="A908" s="9"/>
      <c r="B908" s="8"/>
      <c r="C908" s="8"/>
      <c r="D908" s="8" t="str">
        <f t="array" ref="D908">IF(C908="","",IFERROR(_xlfn.XLOOKUP(C908,Estoque!$A:$A,Estoque!$B:$B,""),""))</f>
        <v/>
      </c>
      <c r="E908" s="8"/>
      <c r="F908" s="8"/>
    </row>
    <row r="909" ht="15.75" customHeight="1">
      <c r="A909" s="9"/>
      <c r="B909" s="8"/>
      <c r="C909" s="8"/>
      <c r="D909" s="8" t="str">
        <f t="array" ref="D909">IF(C909="","",IFERROR(_xlfn.XLOOKUP(C909,Estoque!$A:$A,Estoque!$B:$B,""),""))</f>
        <v/>
      </c>
      <c r="E909" s="8"/>
      <c r="F909" s="8"/>
    </row>
    <row r="910" ht="15.75" customHeight="1">
      <c r="A910" s="9"/>
      <c r="B910" s="8"/>
      <c r="C910" s="8"/>
      <c r="D910" s="8" t="str">
        <f t="array" ref="D910">IF(C910="","",IFERROR(_xlfn.XLOOKUP(C910,Estoque!$A:$A,Estoque!$B:$B,""),""))</f>
        <v/>
      </c>
      <c r="E910" s="8"/>
      <c r="F910" s="8"/>
    </row>
    <row r="911" ht="15.75" customHeight="1">
      <c r="A911" s="9"/>
      <c r="B911" s="8"/>
      <c r="C911" s="8"/>
      <c r="D911" s="8" t="str">
        <f t="array" ref="D911">IF(C911="","",IFERROR(_xlfn.XLOOKUP(C911,Estoque!$A:$A,Estoque!$B:$B,""),""))</f>
        <v/>
      </c>
      <c r="E911" s="8"/>
      <c r="F911" s="8"/>
    </row>
    <row r="912" ht="15.75" customHeight="1">
      <c r="A912" s="9"/>
      <c r="B912" s="8"/>
      <c r="C912" s="8"/>
      <c r="D912" s="8" t="str">
        <f t="array" ref="D912">IF(C912="","",IFERROR(_xlfn.XLOOKUP(C912,Estoque!$A:$A,Estoque!$B:$B,""),""))</f>
        <v/>
      </c>
      <c r="E912" s="8"/>
      <c r="F912" s="8"/>
    </row>
    <row r="913" ht="15.75" customHeight="1">
      <c r="A913" s="9"/>
      <c r="B913" s="8"/>
      <c r="C913" s="8"/>
      <c r="D913" s="8" t="str">
        <f t="array" ref="D913">IF(C913="","",IFERROR(_xlfn.XLOOKUP(C913,Estoque!$A:$A,Estoque!$B:$B,""),""))</f>
        <v/>
      </c>
      <c r="E913" s="8"/>
      <c r="F913" s="8"/>
    </row>
    <row r="914" ht="15.75" customHeight="1">
      <c r="A914" s="9"/>
      <c r="B914" s="8"/>
      <c r="C914" s="8"/>
      <c r="D914" s="8" t="str">
        <f t="array" ref="D914">IF(C914="","",IFERROR(_xlfn.XLOOKUP(C914,Estoque!$A:$A,Estoque!$B:$B,""),""))</f>
        <v/>
      </c>
      <c r="E914" s="8"/>
      <c r="F914" s="8"/>
    </row>
    <row r="915" ht="15.75" customHeight="1">
      <c r="A915" s="9"/>
      <c r="B915" s="8"/>
      <c r="C915" s="8"/>
      <c r="D915" s="8" t="str">
        <f t="array" ref="D915">IF(C915="","",IFERROR(_xlfn.XLOOKUP(C915,Estoque!$A:$A,Estoque!$B:$B,""),""))</f>
        <v/>
      </c>
      <c r="E915" s="8"/>
      <c r="F915" s="8"/>
    </row>
    <row r="916" ht="15.75" customHeight="1">
      <c r="A916" s="9"/>
      <c r="B916" s="8"/>
      <c r="C916" s="8"/>
      <c r="D916" s="8" t="str">
        <f t="array" ref="D916">IF(C916="","",IFERROR(_xlfn.XLOOKUP(C916,Estoque!$A:$A,Estoque!$B:$B,""),""))</f>
        <v/>
      </c>
      <c r="E916" s="8"/>
      <c r="F916" s="8"/>
    </row>
    <row r="917" ht="15.75" customHeight="1">
      <c r="A917" s="9"/>
      <c r="B917" s="8"/>
      <c r="C917" s="8"/>
      <c r="D917" s="8" t="str">
        <f t="array" ref="D917">IF(C917="","",IFERROR(_xlfn.XLOOKUP(C917,Estoque!$A:$A,Estoque!$B:$B,""),""))</f>
        <v/>
      </c>
      <c r="E917" s="8"/>
      <c r="F917" s="8"/>
    </row>
    <row r="918" ht="15.75" customHeight="1">
      <c r="A918" s="9"/>
      <c r="B918" s="8"/>
      <c r="C918" s="8"/>
      <c r="D918" s="8" t="str">
        <f t="array" ref="D918">IF(C918="","",IFERROR(_xlfn.XLOOKUP(C918,Estoque!$A:$A,Estoque!$B:$B,""),""))</f>
        <v/>
      </c>
      <c r="E918" s="8"/>
      <c r="F918" s="8"/>
    </row>
    <row r="919" ht="15.75" customHeight="1">
      <c r="A919" s="9"/>
      <c r="B919" s="8"/>
      <c r="C919" s="8"/>
      <c r="D919" s="8" t="str">
        <f t="array" ref="D919">IF(C919="","",IFERROR(_xlfn.XLOOKUP(C919,Estoque!$A:$A,Estoque!$B:$B,""),""))</f>
        <v/>
      </c>
      <c r="E919" s="8"/>
      <c r="F919" s="8"/>
    </row>
    <row r="920" ht="15.75" customHeight="1">
      <c r="A920" s="9"/>
      <c r="B920" s="8"/>
      <c r="C920" s="8"/>
      <c r="D920" s="8" t="str">
        <f t="array" ref="D920">IF(C920="","",IFERROR(_xlfn.XLOOKUP(C920,Estoque!$A:$A,Estoque!$B:$B,""),""))</f>
        <v/>
      </c>
      <c r="E920" s="8"/>
      <c r="F920" s="8"/>
    </row>
    <row r="921" ht="15.75" customHeight="1">
      <c r="A921" s="9"/>
      <c r="B921" s="8"/>
      <c r="C921" s="8"/>
      <c r="D921" s="8" t="str">
        <f t="array" ref="D921">IF(C921="","",IFERROR(_xlfn.XLOOKUP(C921,Estoque!$A:$A,Estoque!$B:$B,""),""))</f>
        <v/>
      </c>
      <c r="E921" s="8"/>
      <c r="F921" s="8"/>
    </row>
    <row r="922" ht="15.75" customHeight="1">
      <c r="A922" s="9"/>
      <c r="B922" s="8"/>
      <c r="C922" s="8"/>
      <c r="D922" s="8" t="str">
        <f t="array" ref="D922">IF(C922="","",IFERROR(_xlfn.XLOOKUP(C922,Estoque!$A:$A,Estoque!$B:$B,""),""))</f>
        <v/>
      </c>
      <c r="E922" s="8"/>
      <c r="F922" s="8"/>
    </row>
    <row r="923" ht="15.75" customHeight="1">
      <c r="A923" s="9"/>
      <c r="B923" s="8"/>
      <c r="C923" s="8"/>
      <c r="D923" s="8" t="str">
        <f t="array" ref="D923">IF(C923="","",IFERROR(_xlfn.XLOOKUP(C923,Estoque!$A:$A,Estoque!$B:$B,""),""))</f>
        <v/>
      </c>
      <c r="E923" s="8"/>
      <c r="F923" s="8"/>
    </row>
    <row r="924" ht="15.75" customHeight="1">
      <c r="A924" s="9"/>
      <c r="B924" s="8"/>
      <c r="C924" s="8"/>
      <c r="D924" s="8" t="str">
        <f t="array" ref="D924">IF(C924="","",IFERROR(_xlfn.XLOOKUP(C924,Estoque!$A:$A,Estoque!$B:$B,""),""))</f>
        <v/>
      </c>
      <c r="E924" s="8"/>
      <c r="F924" s="8"/>
    </row>
    <row r="925" ht="15.75" customHeight="1">
      <c r="A925" s="9"/>
      <c r="B925" s="8"/>
      <c r="C925" s="8"/>
      <c r="D925" s="8" t="str">
        <f t="array" ref="D925">IF(C925="","",IFERROR(_xlfn.XLOOKUP(C925,Estoque!$A:$A,Estoque!$B:$B,""),""))</f>
        <v/>
      </c>
      <c r="E925" s="8"/>
      <c r="F925" s="8"/>
    </row>
    <row r="926" ht="15.75" customHeight="1">
      <c r="A926" s="9"/>
      <c r="B926" s="8"/>
      <c r="C926" s="8"/>
      <c r="D926" s="8" t="str">
        <f t="array" ref="D926">IF(C926="","",IFERROR(_xlfn.XLOOKUP(C926,Estoque!$A:$A,Estoque!$B:$B,""),""))</f>
        <v/>
      </c>
      <c r="E926" s="8"/>
      <c r="F926" s="8"/>
    </row>
    <row r="927" ht="15.75" customHeight="1">
      <c r="A927" s="9"/>
      <c r="B927" s="8"/>
      <c r="C927" s="8"/>
      <c r="D927" s="8" t="str">
        <f t="array" ref="D927">IF(C927="","",IFERROR(_xlfn.XLOOKUP(C927,Estoque!$A:$A,Estoque!$B:$B,""),""))</f>
        <v/>
      </c>
      <c r="E927" s="8"/>
      <c r="F927" s="8"/>
    </row>
    <row r="928" ht="15.75" customHeight="1">
      <c r="A928" s="9"/>
      <c r="B928" s="8"/>
      <c r="C928" s="8"/>
      <c r="D928" s="8" t="str">
        <f t="array" ref="D928">IF(C928="","",IFERROR(_xlfn.XLOOKUP(C928,Estoque!$A:$A,Estoque!$B:$B,""),""))</f>
        <v/>
      </c>
      <c r="E928" s="8"/>
      <c r="F928" s="8"/>
    </row>
    <row r="929" ht="15.75" customHeight="1">
      <c r="A929" s="9"/>
      <c r="B929" s="8"/>
      <c r="C929" s="8"/>
      <c r="D929" s="8" t="str">
        <f t="array" ref="D929">IF(C929="","",IFERROR(_xlfn.XLOOKUP(C929,Estoque!$A:$A,Estoque!$B:$B,""),""))</f>
        <v/>
      </c>
      <c r="E929" s="8"/>
      <c r="F929" s="8"/>
    </row>
    <row r="930" ht="15.75" customHeight="1">
      <c r="A930" s="9"/>
      <c r="B930" s="8"/>
      <c r="C930" s="8"/>
      <c r="D930" s="8" t="str">
        <f t="array" ref="D930">IF(C930="","",IFERROR(_xlfn.XLOOKUP(C930,Estoque!$A:$A,Estoque!$B:$B,""),""))</f>
        <v/>
      </c>
      <c r="E930" s="8"/>
      <c r="F930" s="8"/>
    </row>
    <row r="931" ht="15.75" customHeight="1">
      <c r="A931" s="9"/>
      <c r="B931" s="8"/>
      <c r="C931" s="8"/>
      <c r="D931" s="8" t="str">
        <f t="array" ref="D931">IF(C931="","",IFERROR(_xlfn.XLOOKUP(C931,Estoque!$A:$A,Estoque!$B:$B,""),""))</f>
        <v/>
      </c>
      <c r="E931" s="8"/>
      <c r="F931" s="8"/>
    </row>
    <row r="932" ht="15.75" customHeight="1">
      <c r="A932" s="9"/>
      <c r="B932" s="8"/>
      <c r="C932" s="8"/>
      <c r="D932" s="8" t="str">
        <f t="array" ref="D932">IF(C932="","",IFERROR(_xlfn.XLOOKUP(C932,Estoque!$A:$A,Estoque!$B:$B,""),""))</f>
        <v/>
      </c>
      <c r="E932" s="8"/>
      <c r="F932" s="8"/>
    </row>
    <row r="933" ht="15.75" customHeight="1">
      <c r="A933" s="9"/>
      <c r="B933" s="8"/>
      <c r="C933" s="8"/>
      <c r="D933" s="8" t="str">
        <f t="array" ref="D933">IF(C933="","",IFERROR(_xlfn.XLOOKUP(C933,Estoque!$A:$A,Estoque!$B:$B,""),""))</f>
        <v/>
      </c>
      <c r="E933" s="8"/>
      <c r="F933" s="8"/>
    </row>
    <row r="934" ht="15.75" customHeight="1">
      <c r="A934" s="9"/>
      <c r="B934" s="8"/>
      <c r="C934" s="8"/>
      <c r="D934" s="8" t="str">
        <f t="array" ref="D934">IF(C934="","",IFERROR(_xlfn.XLOOKUP(C934,Estoque!$A:$A,Estoque!$B:$B,""),""))</f>
        <v/>
      </c>
      <c r="E934" s="8"/>
      <c r="F934" s="8"/>
    </row>
    <row r="935" ht="15.75" customHeight="1">
      <c r="A935" s="9"/>
      <c r="B935" s="8"/>
      <c r="C935" s="8"/>
      <c r="D935" s="8" t="str">
        <f t="array" ref="D935">IF(C935="","",IFERROR(_xlfn.XLOOKUP(C935,Estoque!$A:$A,Estoque!$B:$B,""),""))</f>
        <v/>
      </c>
      <c r="E935" s="8"/>
      <c r="F935" s="8"/>
    </row>
    <row r="936" ht="15.75" customHeight="1">
      <c r="A936" s="9"/>
      <c r="B936" s="8"/>
      <c r="C936" s="8"/>
      <c r="D936" s="8" t="str">
        <f t="array" ref="D936">IF(C936="","",IFERROR(_xlfn.XLOOKUP(C936,Estoque!$A:$A,Estoque!$B:$B,""),""))</f>
        <v/>
      </c>
      <c r="E936" s="8"/>
      <c r="F936" s="8"/>
    </row>
    <row r="937" ht="15.75" customHeight="1">
      <c r="A937" s="9"/>
      <c r="B937" s="8"/>
      <c r="C937" s="8"/>
      <c r="D937" s="8" t="str">
        <f t="array" ref="D937">IF(C937="","",IFERROR(_xlfn.XLOOKUP(C937,Estoque!$A:$A,Estoque!$B:$B,""),""))</f>
        <v/>
      </c>
      <c r="E937" s="8"/>
      <c r="F937" s="8"/>
    </row>
    <row r="938" ht="15.75" customHeight="1">
      <c r="A938" s="9"/>
      <c r="B938" s="8"/>
      <c r="C938" s="8"/>
      <c r="D938" s="8" t="str">
        <f t="array" ref="D938">IF(C938="","",IFERROR(_xlfn.XLOOKUP(C938,Estoque!$A:$A,Estoque!$B:$B,""),""))</f>
        <v/>
      </c>
      <c r="E938" s="8"/>
      <c r="F938" s="8"/>
    </row>
    <row r="939" ht="15.75" customHeight="1">
      <c r="A939" s="9"/>
      <c r="B939" s="8"/>
      <c r="C939" s="8"/>
      <c r="D939" s="8" t="str">
        <f t="array" ref="D939">IF(C939="","",IFERROR(_xlfn.XLOOKUP(C939,Estoque!$A:$A,Estoque!$B:$B,""),""))</f>
        <v/>
      </c>
      <c r="E939" s="8"/>
      <c r="F939" s="8"/>
    </row>
    <row r="940" ht="15.75" customHeight="1">
      <c r="A940" s="9"/>
      <c r="B940" s="8"/>
      <c r="C940" s="8"/>
      <c r="D940" s="8" t="str">
        <f t="array" ref="D940">IF(C940="","",IFERROR(_xlfn.XLOOKUP(C940,Estoque!$A:$A,Estoque!$B:$B,""),""))</f>
        <v/>
      </c>
      <c r="E940" s="8"/>
      <c r="F940" s="8"/>
    </row>
    <row r="941" ht="15.75" customHeight="1">
      <c r="A941" s="9"/>
      <c r="B941" s="8"/>
      <c r="C941" s="8"/>
      <c r="D941" s="8" t="str">
        <f t="array" ref="D941">IF(C941="","",IFERROR(_xlfn.XLOOKUP(C941,Estoque!$A:$A,Estoque!$B:$B,""),""))</f>
        <v/>
      </c>
      <c r="E941" s="8"/>
      <c r="F941" s="8"/>
    </row>
    <row r="942" ht="15.75" customHeight="1">
      <c r="A942" s="9"/>
      <c r="B942" s="8"/>
      <c r="C942" s="8"/>
      <c r="D942" s="8" t="str">
        <f t="array" ref="D942">IF(C942="","",IFERROR(_xlfn.XLOOKUP(C942,Estoque!$A:$A,Estoque!$B:$B,""),""))</f>
        <v/>
      </c>
      <c r="E942" s="8"/>
      <c r="F942" s="8"/>
    </row>
    <row r="943" ht="15.75" customHeight="1">
      <c r="A943" s="9"/>
      <c r="B943" s="8"/>
      <c r="C943" s="8"/>
      <c r="D943" s="8" t="str">
        <f t="array" ref="D943">IF(C943="","",IFERROR(_xlfn.XLOOKUP(C943,Estoque!$A:$A,Estoque!$B:$B,""),""))</f>
        <v/>
      </c>
      <c r="E943" s="8"/>
      <c r="F943" s="8"/>
    </row>
    <row r="944" ht="15.75" customHeight="1">
      <c r="A944" s="9"/>
      <c r="B944" s="8"/>
      <c r="C944" s="8"/>
      <c r="D944" s="8" t="str">
        <f t="array" ref="D944">IF(C944="","",IFERROR(_xlfn.XLOOKUP(C944,Estoque!$A:$A,Estoque!$B:$B,""),""))</f>
        <v/>
      </c>
      <c r="E944" s="8"/>
      <c r="F944" s="8"/>
    </row>
    <row r="945" ht="15.75" customHeight="1">
      <c r="A945" s="9"/>
      <c r="B945" s="8"/>
      <c r="C945" s="8"/>
      <c r="D945" s="8" t="str">
        <f t="array" ref="D945">IF(C945="","",IFERROR(_xlfn.XLOOKUP(C945,Estoque!$A:$A,Estoque!$B:$B,""),""))</f>
        <v/>
      </c>
      <c r="E945" s="8"/>
      <c r="F945" s="8"/>
    </row>
    <row r="946" ht="15.75" customHeight="1">
      <c r="A946" s="9"/>
      <c r="B946" s="8"/>
      <c r="C946" s="8"/>
      <c r="D946" s="8" t="str">
        <f t="array" ref="D946">IF(C946="","",IFERROR(_xlfn.XLOOKUP(C946,Estoque!$A:$A,Estoque!$B:$B,""),""))</f>
        <v/>
      </c>
      <c r="E946" s="8"/>
      <c r="F946" s="8"/>
    </row>
    <row r="947" ht="15.75" customHeight="1">
      <c r="A947" s="9"/>
      <c r="B947" s="8"/>
      <c r="C947" s="8"/>
      <c r="D947" s="8" t="str">
        <f t="array" ref="D947">IF(C947="","",IFERROR(_xlfn.XLOOKUP(C947,Estoque!$A:$A,Estoque!$B:$B,""),""))</f>
        <v/>
      </c>
      <c r="E947" s="8"/>
      <c r="F947" s="8"/>
    </row>
    <row r="948" ht="15.75" customHeight="1">
      <c r="A948" s="9"/>
      <c r="B948" s="8"/>
      <c r="C948" s="8"/>
      <c r="D948" s="8" t="str">
        <f t="array" ref="D948">IF(C948="","",IFERROR(_xlfn.XLOOKUP(C948,Estoque!$A:$A,Estoque!$B:$B,""),""))</f>
        <v/>
      </c>
      <c r="E948" s="8"/>
      <c r="F948" s="8"/>
    </row>
    <row r="949" ht="15.75" customHeight="1">
      <c r="A949" s="9"/>
      <c r="B949" s="8"/>
      <c r="C949" s="8"/>
      <c r="D949" s="8" t="str">
        <f t="array" ref="D949">IF(C949="","",IFERROR(_xlfn.XLOOKUP(C949,Estoque!$A:$A,Estoque!$B:$B,""),""))</f>
        <v/>
      </c>
      <c r="E949" s="8"/>
      <c r="F949" s="8"/>
    </row>
    <row r="950" ht="15.75" customHeight="1">
      <c r="A950" s="9"/>
      <c r="B950" s="8"/>
      <c r="C950" s="8"/>
      <c r="D950" s="8" t="str">
        <f t="array" ref="D950">IF(C950="","",IFERROR(_xlfn.XLOOKUP(C950,Estoque!$A:$A,Estoque!$B:$B,""),""))</f>
        <v/>
      </c>
      <c r="E950" s="8"/>
      <c r="F950" s="8"/>
    </row>
    <row r="951" ht="15.75" customHeight="1">
      <c r="A951" s="9"/>
      <c r="B951" s="8"/>
      <c r="C951" s="8"/>
      <c r="D951" s="8" t="str">
        <f t="array" ref="D951">IF(C951="","",IFERROR(_xlfn.XLOOKUP(C951,Estoque!$A:$A,Estoque!$B:$B,""),""))</f>
        <v/>
      </c>
      <c r="E951" s="8"/>
      <c r="F951" s="8"/>
    </row>
    <row r="952" ht="15.75" customHeight="1">
      <c r="A952" s="9"/>
      <c r="B952" s="8"/>
      <c r="C952" s="8"/>
      <c r="D952" s="8" t="str">
        <f t="array" ref="D952">IF(C952="","",IFERROR(_xlfn.XLOOKUP(C952,Estoque!$A:$A,Estoque!$B:$B,""),""))</f>
        <v/>
      </c>
      <c r="E952" s="8"/>
      <c r="F952" s="8"/>
    </row>
    <row r="953" ht="15.75" customHeight="1">
      <c r="A953" s="9"/>
      <c r="B953" s="8"/>
      <c r="C953" s="8"/>
      <c r="D953" s="8" t="str">
        <f t="array" ref="D953">IF(C953="","",IFERROR(_xlfn.XLOOKUP(C953,Estoque!$A:$A,Estoque!$B:$B,""),""))</f>
        <v/>
      </c>
      <c r="E953" s="8"/>
      <c r="F953" s="8"/>
    </row>
    <row r="954" ht="15.75" customHeight="1">
      <c r="A954" s="9"/>
      <c r="B954" s="8"/>
      <c r="C954" s="8"/>
      <c r="D954" s="8" t="str">
        <f t="array" ref="D954">IF(C954="","",IFERROR(_xlfn.XLOOKUP(C954,Estoque!$A:$A,Estoque!$B:$B,""),""))</f>
        <v/>
      </c>
      <c r="E954" s="8"/>
      <c r="F954" s="8"/>
    </row>
    <row r="955" ht="15.75" customHeight="1">
      <c r="A955" s="9"/>
      <c r="B955" s="8"/>
      <c r="C955" s="8"/>
      <c r="D955" s="8" t="str">
        <f t="array" ref="D955">IF(C955="","",IFERROR(_xlfn.XLOOKUP(C955,Estoque!$A:$A,Estoque!$B:$B,""),""))</f>
        <v/>
      </c>
      <c r="E955" s="8"/>
      <c r="F955" s="8"/>
    </row>
    <row r="956" ht="15.75" customHeight="1">
      <c r="A956" s="9"/>
      <c r="B956" s="8"/>
      <c r="C956" s="8"/>
      <c r="D956" s="8" t="str">
        <f t="array" ref="D956">IF(C956="","",IFERROR(_xlfn.XLOOKUP(C956,Estoque!$A:$A,Estoque!$B:$B,""),""))</f>
        <v/>
      </c>
      <c r="E956" s="8"/>
      <c r="F956" s="8"/>
    </row>
    <row r="957" ht="15.75" customHeight="1">
      <c r="A957" s="9"/>
      <c r="B957" s="8"/>
      <c r="C957" s="8"/>
      <c r="D957" s="8" t="str">
        <f t="array" ref="D957">IF(C957="","",IFERROR(_xlfn.XLOOKUP(C957,Estoque!$A:$A,Estoque!$B:$B,""),""))</f>
        <v/>
      </c>
      <c r="E957" s="8"/>
      <c r="F957" s="8"/>
    </row>
    <row r="958" ht="15.75" customHeight="1">
      <c r="A958" s="9"/>
      <c r="B958" s="8"/>
      <c r="C958" s="8"/>
      <c r="D958" s="8" t="str">
        <f t="array" ref="D958">IF(C958="","",IFERROR(_xlfn.XLOOKUP(C958,Estoque!$A:$A,Estoque!$B:$B,""),""))</f>
        <v/>
      </c>
      <c r="E958" s="8"/>
      <c r="F958" s="8"/>
    </row>
    <row r="959" ht="15.75" customHeight="1">
      <c r="A959" s="9"/>
      <c r="B959" s="8"/>
      <c r="C959" s="8"/>
      <c r="D959" s="8" t="str">
        <f t="array" ref="D959">IF(C959="","",IFERROR(_xlfn.XLOOKUP(C959,Estoque!$A:$A,Estoque!$B:$B,""),""))</f>
        <v/>
      </c>
      <c r="E959" s="8"/>
      <c r="F959" s="8"/>
    </row>
    <row r="960" ht="15.75" customHeight="1">
      <c r="A960" s="9"/>
      <c r="B960" s="8"/>
      <c r="C960" s="8"/>
      <c r="D960" s="8" t="str">
        <f t="array" ref="D960">IF(C960="","",IFERROR(_xlfn.XLOOKUP(C960,Estoque!$A:$A,Estoque!$B:$B,""),""))</f>
        <v/>
      </c>
      <c r="E960" s="8"/>
      <c r="F960" s="8"/>
    </row>
    <row r="961" ht="15.75" customHeight="1">
      <c r="A961" s="9"/>
      <c r="B961" s="8"/>
      <c r="C961" s="8"/>
      <c r="D961" s="8" t="str">
        <f t="array" ref="D961">IF(C961="","",IFERROR(_xlfn.XLOOKUP(C961,Estoque!$A:$A,Estoque!$B:$B,""),""))</f>
        <v/>
      </c>
      <c r="E961" s="8"/>
      <c r="F961" s="8"/>
    </row>
    <row r="962" ht="15.75" customHeight="1">
      <c r="A962" s="9"/>
      <c r="B962" s="8"/>
      <c r="C962" s="8"/>
      <c r="D962" s="8" t="str">
        <f t="array" ref="D962">IF(C962="","",IFERROR(_xlfn.XLOOKUP(C962,Estoque!$A:$A,Estoque!$B:$B,""),""))</f>
        <v/>
      </c>
      <c r="E962" s="8"/>
      <c r="F962" s="8"/>
    </row>
    <row r="963" ht="15.75" customHeight="1">
      <c r="A963" s="9"/>
      <c r="B963" s="8"/>
      <c r="C963" s="8"/>
      <c r="D963" s="8" t="str">
        <f t="array" ref="D963">IF(C963="","",IFERROR(_xlfn.XLOOKUP(C963,Estoque!$A:$A,Estoque!$B:$B,""),""))</f>
        <v/>
      </c>
      <c r="E963" s="8"/>
      <c r="F963" s="8"/>
    </row>
    <row r="964" ht="15.75" customHeight="1">
      <c r="A964" s="9"/>
      <c r="B964" s="8"/>
      <c r="C964" s="8"/>
      <c r="D964" s="8" t="str">
        <f t="array" ref="D964">IF(C964="","",IFERROR(_xlfn.XLOOKUP(C964,Estoque!$A:$A,Estoque!$B:$B,""),""))</f>
        <v/>
      </c>
      <c r="E964" s="8"/>
      <c r="F964" s="8"/>
    </row>
    <row r="965" ht="15.75" customHeight="1">
      <c r="A965" s="9"/>
      <c r="B965" s="8"/>
      <c r="C965" s="8"/>
      <c r="D965" s="8" t="str">
        <f t="array" ref="D965">IF(C965="","",IFERROR(_xlfn.XLOOKUP(C965,Estoque!$A:$A,Estoque!$B:$B,""),""))</f>
        <v/>
      </c>
      <c r="E965" s="8"/>
      <c r="F965" s="8"/>
    </row>
    <row r="966" ht="15.75" customHeight="1">
      <c r="A966" s="9"/>
      <c r="B966" s="8"/>
      <c r="C966" s="8"/>
      <c r="D966" s="8" t="str">
        <f t="array" ref="D966">IF(C966="","",IFERROR(_xlfn.XLOOKUP(C966,Estoque!$A:$A,Estoque!$B:$B,""),""))</f>
        <v/>
      </c>
      <c r="E966" s="8"/>
      <c r="F966" s="8"/>
    </row>
    <row r="967" ht="15.75" customHeight="1">
      <c r="A967" s="9"/>
      <c r="B967" s="8"/>
      <c r="C967" s="8"/>
      <c r="D967" s="8" t="str">
        <f t="array" ref="D967">IF(C967="","",IFERROR(_xlfn.XLOOKUP(C967,Estoque!$A:$A,Estoque!$B:$B,""),""))</f>
        <v/>
      </c>
      <c r="E967" s="8"/>
      <c r="F967" s="8"/>
    </row>
    <row r="968" ht="15.75" customHeight="1">
      <c r="A968" s="9"/>
      <c r="B968" s="8"/>
      <c r="C968" s="8"/>
      <c r="D968" s="8" t="str">
        <f t="array" ref="D968">IF(C968="","",IFERROR(_xlfn.XLOOKUP(C968,Estoque!$A:$A,Estoque!$B:$B,""),""))</f>
        <v/>
      </c>
      <c r="E968" s="8"/>
      <c r="F968" s="8"/>
    </row>
    <row r="969" ht="15.75" customHeight="1">
      <c r="A969" s="9"/>
      <c r="B969" s="8"/>
      <c r="C969" s="8"/>
      <c r="D969" s="8" t="str">
        <f t="array" ref="D969">IF(C969="","",IFERROR(_xlfn.XLOOKUP(C969,Estoque!$A:$A,Estoque!$B:$B,""),""))</f>
        <v/>
      </c>
      <c r="E969" s="8"/>
      <c r="F969" s="8"/>
    </row>
    <row r="970" ht="15.75" customHeight="1">
      <c r="A970" s="9"/>
      <c r="B970" s="8"/>
      <c r="C970" s="8"/>
      <c r="D970" s="8" t="str">
        <f t="array" ref="D970">IF(C970="","",IFERROR(_xlfn.XLOOKUP(C970,Estoque!$A:$A,Estoque!$B:$B,""),""))</f>
        <v/>
      </c>
      <c r="E970" s="8"/>
      <c r="F970" s="8"/>
    </row>
    <row r="971" ht="15.75" customHeight="1">
      <c r="A971" s="9"/>
      <c r="B971" s="8"/>
      <c r="C971" s="8"/>
      <c r="D971" s="8" t="str">
        <f t="array" ref="D971">IF(C971="","",IFERROR(_xlfn.XLOOKUP(C971,Estoque!$A:$A,Estoque!$B:$B,""),""))</f>
        <v/>
      </c>
      <c r="E971" s="8"/>
      <c r="F971" s="8"/>
    </row>
    <row r="972" ht="15.75" customHeight="1">
      <c r="A972" s="9"/>
      <c r="B972" s="8"/>
      <c r="C972" s="8"/>
      <c r="D972" s="8" t="str">
        <f t="array" ref="D972">IF(C972="","",IFERROR(_xlfn.XLOOKUP(C972,Estoque!$A:$A,Estoque!$B:$B,""),""))</f>
        <v/>
      </c>
      <c r="E972" s="8"/>
      <c r="F972" s="8"/>
    </row>
    <row r="973" ht="15.75" customHeight="1">
      <c r="A973" s="9"/>
      <c r="B973" s="8"/>
      <c r="C973" s="8"/>
      <c r="D973" s="8" t="str">
        <f t="array" ref="D973">IF(C973="","",IFERROR(_xlfn.XLOOKUP(C973,Estoque!$A:$A,Estoque!$B:$B,""),""))</f>
        <v/>
      </c>
      <c r="E973" s="8"/>
      <c r="F973" s="8"/>
    </row>
    <row r="974" ht="15.75" customHeight="1">
      <c r="A974" s="9"/>
      <c r="B974" s="8"/>
      <c r="C974" s="8"/>
      <c r="D974" s="8" t="str">
        <f t="array" ref="D974">IF(C974="","",IFERROR(_xlfn.XLOOKUP(C974,Estoque!$A:$A,Estoque!$B:$B,""),""))</f>
        <v/>
      </c>
      <c r="E974" s="8"/>
      <c r="F974" s="8"/>
    </row>
    <row r="975" ht="15.75" customHeight="1">
      <c r="A975" s="9"/>
      <c r="B975" s="8"/>
      <c r="C975" s="8"/>
      <c r="D975" s="8" t="str">
        <f t="array" ref="D975">IF(C975="","",IFERROR(_xlfn.XLOOKUP(C975,Estoque!$A:$A,Estoque!$B:$B,""),""))</f>
        <v/>
      </c>
      <c r="E975" s="8"/>
      <c r="F975" s="8"/>
    </row>
    <row r="976" ht="15.75" customHeight="1">
      <c r="A976" s="9"/>
      <c r="B976" s="8"/>
      <c r="C976" s="8"/>
      <c r="D976" s="8" t="str">
        <f t="array" ref="D976">IF(C976="","",IFERROR(_xlfn.XLOOKUP(C976,Estoque!$A:$A,Estoque!$B:$B,""),""))</f>
        <v/>
      </c>
      <c r="E976" s="8"/>
      <c r="F976" s="8"/>
    </row>
    <row r="977" ht="15.75" customHeight="1">
      <c r="A977" s="9"/>
      <c r="B977" s="8"/>
      <c r="C977" s="8"/>
      <c r="D977" s="8" t="str">
        <f t="array" ref="D977">IF(C977="","",IFERROR(_xlfn.XLOOKUP(C977,Estoque!$A:$A,Estoque!$B:$B,""),""))</f>
        <v/>
      </c>
      <c r="E977" s="8"/>
      <c r="F977" s="8"/>
    </row>
    <row r="978" ht="15.75" customHeight="1">
      <c r="A978" s="9"/>
      <c r="B978" s="8"/>
      <c r="C978" s="8"/>
      <c r="D978" s="8" t="str">
        <f t="array" ref="D978">IF(C978="","",IFERROR(_xlfn.XLOOKUP(C978,Estoque!$A:$A,Estoque!$B:$B,""),""))</f>
        <v/>
      </c>
      <c r="E978" s="8"/>
      <c r="F978" s="8"/>
    </row>
    <row r="979" ht="15.75" customHeight="1">
      <c r="A979" s="9"/>
      <c r="B979" s="8"/>
      <c r="C979" s="8"/>
      <c r="D979" s="8" t="str">
        <f t="array" ref="D979">IF(C979="","",IFERROR(_xlfn.XLOOKUP(C979,Estoque!$A:$A,Estoque!$B:$B,""),""))</f>
        <v/>
      </c>
      <c r="E979" s="8"/>
      <c r="F979" s="8"/>
    </row>
    <row r="980" ht="15.75" customHeight="1">
      <c r="A980" s="9"/>
      <c r="B980" s="8"/>
      <c r="C980" s="8"/>
      <c r="D980" s="8" t="str">
        <f t="array" ref="D980">IF(C980="","",IFERROR(_xlfn.XLOOKUP(C980,Estoque!$A:$A,Estoque!$B:$B,""),""))</f>
        <v/>
      </c>
      <c r="E980" s="8"/>
      <c r="F980" s="8"/>
    </row>
    <row r="981" ht="15.75" customHeight="1">
      <c r="A981" s="9"/>
      <c r="B981" s="8"/>
      <c r="C981" s="8"/>
      <c r="D981" s="8" t="str">
        <f t="array" ref="D981">IF(C981="","",IFERROR(_xlfn.XLOOKUP(C981,Estoque!$A:$A,Estoque!$B:$B,""),""))</f>
        <v/>
      </c>
      <c r="E981" s="8"/>
      <c r="F981" s="8"/>
    </row>
    <row r="982" ht="15.75" customHeight="1">
      <c r="A982" s="9"/>
      <c r="B982" s="8"/>
      <c r="C982" s="8"/>
      <c r="D982" s="8" t="str">
        <f t="array" ref="D982">IF(C982="","",IFERROR(_xlfn.XLOOKUP(C982,Estoque!$A:$A,Estoque!$B:$B,""),""))</f>
        <v/>
      </c>
      <c r="E982" s="8"/>
      <c r="F982" s="8"/>
    </row>
    <row r="983" ht="15.75" customHeight="1">
      <c r="A983" s="9"/>
      <c r="B983" s="8"/>
      <c r="C983" s="8"/>
      <c r="D983" s="8" t="str">
        <f t="array" ref="D983">IF(C983="","",IFERROR(_xlfn.XLOOKUP(C983,Estoque!$A:$A,Estoque!$B:$B,""),""))</f>
        <v/>
      </c>
      <c r="E983" s="8"/>
      <c r="F983" s="8"/>
    </row>
    <row r="984" ht="15.75" customHeight="1">
      <c r="A984" s="9"/>
      <c r="B984" s="8"/>
      <c r="C984" s="8"/>
      <c r="D984" s="8" t="str">
        <f t="array" ref="D984">IF(C984="","",IFERROR(_xlfn.XLOOKUP(C984,Estoque!$A:$A,Estoque!$B:$B,""),""))</f>
        <v/>
      </c>
      <c r="E984" s="8"/>
      <c r="F984" s="8"/>
    </row>
    <row r="985" ht="15.75" customHeight="1">
      <c r="A985" s="9"/>
      <c r="B985" s="8"/>
      <c r="C985" s="8"/>
      <c r="D985" s="8" t="str">
        <f t="array" ref="D985">IF(C985="","",IFERROR(_xlfn.XLOOKUP(C985,Estoque!$A:$A,Estoque!$B:$B,""),""))</f>
        <v/>
      </c>
      <c r="E985" s="8"/>
      <c r="F985" s="8"/>
    </row>
    <row r="986" ht="15.75" customHeight="1">
      <c r="A986" s="9"/>
      <c r="B986" s="8"/>
      <c r="C986" s="8"/>
      <c r="D986" s="8" t="str">
        <f t="array" ref="D986">IF(C986="","",IFERROR(_xlfn.XLOOKUP(C986,Estoque!$A:$A,Estoque!$B:$B,""),""))</f>
        <v/>
      </c>
      <c r="E986" s="8"/>
      <c r="F986" s="8"/>
    </row>
    <row r="987" ht="15.75" customHeight="1">
      <c r="A987" s="9"/>
      <c r="B987" s="8"/>
      <c r="C987" s="8"/>
      <c r="D987" s="8" t="str">
        <f t="array" ref="D987">IF(C987="","",IFERROR(_xlfn.XLOOKUP(C987,Estoque!$A:$A,Estoque!$B:$B,""),""))</f>
        <v/>
      </c>
      <c r="E987" s="8"/>
      <c r="F987" s="8"/>
    </row>
    <row r="988" ht="15.75" customHeight="1">
      <c r="A988" s="9"/>
      <c r="B988" s="8"/>
      <c r="C988" s="8"/>
      <c r="D988" s="8" t="str">
        <f t="array" ref="D988">IF(C988="","",IFERROR(_xlfn.XLOOKUP(C988,Estoque!$A:$A,Estoque!$B:$B,""),""))</f>
        <v/>
      </c>
      <c r="E988" s="8"/>
      <c r="F988" s="8"/>
    </row>
    <row r="989" ht="15.75" customHeight="1">
      <c r="A989" s="9"/>
      <c r="B989" s="8"/>
      <c r="C989" s="8"/>
      <c r="D989" s="8" t="str">
        <f t="array" ref="D989">IF(C989="","",IFERROR(_xlfn.XLOOKUP(C989,Estoque!$A:$A,Estoque!$B:$B,""),""))</f>
        <v/>
      </c>
      <c r="E989" s="8"/>
      <c r="F989" s="8"/>
    </row>
    <row r="990" ht="15.75" customHeight="1">
      <c r="A990" s="9"/>
      <c r="B990" s="8"/>
      <c r="C990" s="8"/>
      <c r="D990" s="8" t="str">
        <f t="array" ref="D990">IF(C990="","",IFERROR(_xlfn.XLOOKUP(C990,Estoque!$A:$A,Estoque!$B:$B,""),""))</f>
        <v/>
      </c>
      <c r="E990" s="8"/>
      <c r="F990" s="8"/>
    </row>
    <row r="991" ht="15.75" customHeight="1">
      <c r="A991" s="9"/>
      <c r="B991" s="8"/>
      <c r="C991" s="8"/>
      <c r="D991" s="8" t="str">
        <f t="array" ref="D991">IF(C991="","",IFERROR(_xlfn.XLOOKUP(C991,Estoque!$A:$A,Estoque!$B:$B,""),""))</f>
        <v/>
      </c>
      <c r="E991" s="8"/>
      <c r="F991" s="8"/>
    </row>
    <row r="992" ht="15.75" customHeight="1">
      <c r="A992" s="9"/>
      <c r="B992" s="8"/>
      <c r="C992" s="8"/>
      <c r="D992" s="8" t="str">
        <f t="array" ref="D992">IF(C992="","",IFERROR(_xlfn.XLOOKUP(C992,Estoque!$A:$A,Estoque!$B:$B,""),""))</f>
        <v/>
      </c>
      <c r="E992" s="8"/>
      <c r="F992" s="8"/>
    </row>
    <row r="993" ht="15.75" customHeight="1">
      <c r="A993" s="9"/>
      <c r="B993" s="8"/>
      <c r="C993" s="8"/>
      <c r="D993" s="8" t="str">
        <f t="array" ref="D993">IF(C993="","",IFERROR(_xlfn.XLOOKUP(C993,Estoque!$A:$A,Estoque!$B:$B,""),""))</f>
        <v/>
      </c>
      <c r="E993" s="8"/>
      <c r="F993" s="8"/>
    </row>
    <row r="994" ht="15.75" customHeight="1">
      <c r="A994" s="9"/>
      <c r="B994" s="8"/>
      <c r="C994" s="8"/>
      <c r="D994" s="8" t="str">
        <f t="array" ref="D994">IF(C994="","",IFERROR(_xlfn.XLOOKUP(C994,Estoque!$A:$A,Estoque!$B:$B,""),""))</f>
        <v/>
      </c>
      <c r="E994" s="8"/>
      <c r="F994" s="8"/>
    </row>
    <row r="995" ht="15.75" customHeight="1">
      <c r="A995" s="9"/>
      <c r="B995" s="8"/>
      <c r="C995" s="8"/>
      <c r="D995" s="8" t="str">
        <f t="array" ref="D995">IF(C995="","",IFERROR(_xlfn.XLOOKUP(C995,Estoque!$A:$A,Estoque!$B:$B,""),""))</f>
        <v/>
      </c>
      <c r="E995" s="8"/>
      <c r="F995" s="8"/>
    </row>
    <row r="996" ht="15.75" customHeight="1">
      <c r="A996" s="9"/>
      <c r="B996" s="8"/>
      <c r="C996" s="8"/>
      <c r="D996" s="8" t="str">
        <f t="array" ref="D996">IF(C996="","",IFERROR(_xlfn.XLOOKUP(C996,Estoque!$A:$A,Estoque!$B:$B,""),""))</f>
        <v/>
      </c>
      <c r="E996" s="8"/>
      <c r="F996" s="8"/>
    </row>
    <row r="997" ht="15.75" customHeight="1">
      <c r="A997" s="9"/>
      <c r="B997" s="8"/>
      <c r="C997" s="8"/>
      <c r="D997" s="8" t="str">
        <f t="array" ref="D997">IF(C997="","",IFERROR(_xlfn.XLOOKUP(C997,Estoque!$A:$A,Estoque!$B:$B,""),""))</f>
        <v/>
      </c>
      <c r="E997" s="8"/>
      <c r="F997" s="8"/>
    </row>
    <row r="998" ht="15.75" customHeight="1">
      <c r="A998" s="9"/>
      <c r="B998" s="8"/>
      <c r="C998" s="8"/>
      <c r="D998" s="8" t="str">
        <f t="array" ref="D998">IF(C998="","",IFERROR(_xlfn.XLOOKUP(C998,Estoque!$A:$A,Estoque!$B:$B,""),""))</f>
        <v/>
      </c>
      <c r="E998" s="8"/>
      <c r="F998" s="8"/>
    </row>
    <row r="999" ht="15.75" customHeight="1">
      <c r="A999" s="9"/>
      <c r="B999" s="8"/>
      <c r="C999" s="8"/>
      <c r="D999" s="8" t="str">
        <f t="array" ref="D999">IF(C999="","",IFERROR(_xlfn.XLOOKUP(C999,Estoque!$A:$A,Estoque!$B:$B,""),""))</f>
        <v/>
      </c>
      <c r="E999" s="8"/>
      <c r="F999" s="8"/>
    </row>
    <row r="1000" ht="15.75" customHeight="1">
      <c r="A1000" s="9"/>
      <c r="B1000" s="8"/>
      <c r="C1000" s="8"/>
      <c r="D1000" s="8" t="str">
        <f t="array" ref="D1000">IF(C1000="","",IFERROR(_xlfn.XLOOKUP(C1000,Estoque!$A:$A,Estoque!$B:$B,""),""))</f>
        <v/>
      </c>
      <c r="E1000" s="8"/>
      <c r="F1000" s="8"/>
    </row>
    <row r="1001" ht="15.75" customHeight="1">
      <c r="A1001" s="9"/>
      <c r="B1001" s="8"/>
      <c r="C1001" s="8"/>
      <c r="D1001" s="8" t="str">
        <f t="array" ref="D1001">IF(C1001="","",IFERROR(_xlfn.XLOOKUP(C1001,Estoque!$A:$A,Estoque!$B:$B,""),""))</f>
        <v/>
      </c>
      <c r="E1001" s="8"/>
      <c r="F1001" s="8"/>
    </row>
  </sheetData>
  <autoFilter ref="$A$1:$F$1001"/>
  <dataValidations>
    <dataValidation type="list" allowBlank="1" showErrorMessage="1" sqref="B2:B1001">
      <formula1>"Entrada,Saída"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8.71"/>
    <col customWidth="1" min="3" max="3" width="16.43"/>
    <col customWidth="1" min="4" max="4" width="13.14"/>
    <col customWidth="1" min="5" max="5" width="16.57"/>
    <col customWidth="1" min="6" max="6" width="10.86"/>
    <col customWidth="1" min="7" max="7" width="18.0"/>
    <col customWidth="1" min="8" max="26" width="8.71"/>
  </cols>
  <sheetData>
    <row r="1">
      <c r="A1" s="14" t="s">
        <v>55</v>
      </c>
    </row>
    <row r="3">
      <c r="A3" s="16" t="s">
        <v>58</v>
      </c>
      <c r="B3" s="17"/>
      <c r="C3" s="16" t="s">
        <v>59</v>
      </c>
      <c r="D3" s="17"/>
      <c r="E3" s="16" t="s">
        <v>60</v>
      </c>
      <c r="F3" s="17"/>
      <c r="G3" s="18" t="s">
        <v>63</v>
      </c>
    </row>
    <row r="4">
      <c r="A4" s="19">
        <f>COUNTIF(Estoque!A2:A501,"&lt;&gt;")</f>
        <v>96</v>
      </c>
      <c r="C4" s="19">
        <f>COUNTIF(Estoque!G2:G501,"🟢 NORMAL")</f>
        <v>57</v>
      </c>
      <c r="E4" s="19">
        <f>COUNTIF(Estoque!G2:G501,"🟡 ATENÇÃO")</f>
        <v>12</v>
      </c>
      <c r="G4" s="19">
        <f>COUNTIF(Estoque!G2:G501,"🔴 REPOR")</f>
        <v>27</v>
      </c>
    </row>
    <row r="7">
      <c r="A7" s="20" t="s">
        <v>14</v>
      </c>
      <c r="B7" s="20" t="s">
        <v>8</v>
      </c>
    </row>
    <row r="8">
      <c r="A8" s="8" t="s">
        <v>68</v>
      </c>
      <c r="B8" s="8">
        <f>COUNTIF(Estoque!G2:G501,"🟢 NORMAL")</f>
        <v>57</v>
      </c>
    </row>
    <row r="9">
      <c r="A9" s="8" t="s">
        <v>71</v>
      </c>
      <c r="B9" s="8">
        <f>COUNTIF(Estoque!G2:G501,"🟡 ATENÇÃO")</f>
        <v>12</v>
      </c>
    </row>
    <row r="10">
      <c r="A10" s="8" t="s">
        <v>72</v>
      </c>
      <c r="B10" s="8">
        <f>COUNTIF(Estoque!G2:G501,"🔴 REPOR")</f>
        <v>27</v>
      </c>
    </row>
    <row r="13">
      <c r="A13" s="20" t="s">
        <v>75</v>
      </c>
      <c r="B13" s="20" t="s">
        <v>76</v>
      </c>
      <c r="C13" s="20" t="s">
        <v>77</v>
      </c>
    </row>
    <row r="14">
      <c r="A14" s="8" t="s">
        <v>78</v>
      </c>
      <c r="B14" s="8">
        <f>SUMIFS('Movimentações'!$E:$E,'Movimentações'!$B:$B,"Entrada",'Movimentações'!$A:$A,"&gt;="&amp;DATE(YEAR(TODAY()),1,1),'Movimentações'!$A:$A,"&lt;"&amp;EDATE(DATE(YEAR(TODAY()),1,1),1))</f>
        <v>0</v>
      </c>
      <c r="C14" s="8">
        <f>SUMIFS('Movimentações'!$E:$E,'Movimentações'!$B:$B,"Saída",'Movimentações'!$A:$A,"&gt;="&amp;DATE(YEAR(TODAY()),1,1),'Movimentações'!$A:$A,"&lt;"&amp;EDATE(DATE(YEAR(TODAY()),1,1),1))</f>
        <v>0</v>
      </c>
    </row>
    <row r="15">
      <c r="A15" s="8" t="s">
        <v>83</v>
      </c>
      <c r="B15" s="8">
        <f>SUMIFS('Movimentações'!$E:$E,'Movimentações'!$B:$B,"Entrada",'Movimentações'!$A:$A,"&gt;="&amp;DATE(YEAR(TODAY()),2,1),'Movimentações'!$A:$A,"&lt;"&amp;EDATE(DATE(YEAR(TODAY()),2,1),1))</f>
        <v>0</v>
      </c>
      <c r="C15" s="8">
        <f>SUMIFS('Movimentações'!$E:$E,'Movimentações'!$B:$B,"Saída",'Movimentações'!$A:$A,"&gt;="&amp;DATE(YEAR(TODAY()),2,1),'Movimentações'!$A:$A,"&lt;"&amp;EDATE(DATE(YEAR(TODAY()),2,1),1))</f>
        <v>0</v>
      </c>
    </row>
    <row r="16">
      <c r="A16" s="8" t="s">
        <v>86</v>
      </c>
      <c r="B16" s="8">
        <f>SUMIFS('Movimentações'!$E:$E,'Movimentações'!$B:$B,"Entrada",'Movimentações'!$A:$A,"&gt;="&amp;DATE(YEAR(TODAY()),3,1),'Movimentações'!$A:$A,"&lt;"&amp;EDATE(DATE(YEAR(TODAY()),3,1),1))</f>
        <v>0</v>
      </c>
      <c r="C16" s="8">
        <f>SUMIFS('Movimentações'!$E:$E,'Movimentações'!$B:$B,"Saída",'Movimentações'!$A:$A,"&gt;="&amp;DATE(YEAR(TODAY()),3,1),'Movimentações'!$A:$A,"&lt;"&amp;EDATE(DATE(YEAR(TODAY()),3,1),1))</f>
        <v>0</v>
      </c>
    </row>
    <row r="17">
      <c r="A17" s="8" t="s">
        <v>91</v>
      </c>
      <c r="B17" s="8">
        <f>SUMIFS('Movimentações'!$E:$E,'Movimentações'!$B:$B,"Entrada",'Movimentações'!$A:$A,"&gt;="&amp;DATE(YEAR(TODAY()),4,1),'Movimentações'!$A:$A,"&lt;"&amp;EDATE(DATE(YEAR(TODAY()),4,1),1))</f>
        <v>0</v>
      </c>
      <c r="C17" s="8">
        <f>SUMIFS('Movimentações'!$E:$E,'Movimentações'!$B:$B,"Saída",'Movimentações'!$A:$A,"&gt;="&amp;DATE(YEAR(TODAY()),4,1),'Movimentações'!$A:$A,"&lt;"&amp;EDATE(DATE(YEAR(TODAY()),4,1),1))</f>
        <v>0</v>
      </c>
    </row>
    <row r="18">
      <c r="A18" s="8" t="s">
        <v>98</v>
      </c>
      <c r="B18" s="8">
        <f>SUMIFS('Movimentações'!$E:$E,'Movimentações'!$B:$B,"Entrada",'Movimentações'!$A:$A,"&gt;="&amp;DATE(YEAR(TODAY()),5,1),'Movimentações'!$A:$A,"&lt;"&amp;EDATE(DATE(YEAR(TODAY()),5,1),1))</f>
        <v>0</v>
      </c>
      <c r="C18" s="8">
        <f>SUMIFS('Movimentações'!$E:$E,'Movimentações'!$B:$B,"Saída",'Movimentações'!$A:$A,"&gt;="&amp;DATE(YEAR(TODAY()),5,1),'Movimentações'!$A:$A,"&lt;"&amp;EDATE(DATE(YEAR(TODAY()),5,1),1))</f>
        <v>0</v>
      </c>
    </row>
    <row r="19">
      <c r="A19" s="8" t="s">
        <v>104</v>
      </c>
      <c r="B19" s="8">
        <f>SUMIFS('Movimentações'!$E:$E,'Movimentações'!$B:$B,"Entrada",'Movimentações'!$A:$A,"&gt;="&amp;DATE(YEAR(TODAY()),6,1),'Movimentações'!$A:$A,"&lt;"&amp;EDATE(DATE(YEAR(TODAY()),6,1),1))</f>
        <v>0</v>
      </c>
      <c r="C19" s="8">
        <f>SUMIFS('Movimentações'!$E:$E,'Movimentações'!$B:$B,"Saída",'Movimentações'!$A:$A,"&gt;="&amp;DATE(YEAR(TODAY()),6,1),'Movimentações'!$A:$A,"&lt;"&amp;EDATE(DATE(YEAR(TODAY()),6,1),1))</f>
        <v>0</v>
      </c>
    </row>
    <row r="20">
      <c r="A20" s="8" t="s">
        <v>111</v>
      </c>
      <c r="B20" s="8">
        <f>SUMIFS('Movimentações'!$E:$E,'Movimentações'!$B:$B,"Entrada",'Movimentações'!$A:$A,"&gt;="&amp;DATE(YEAR(TODAY()),7,1),'Movimentações'!$A:$A,"&lt;"&amp;EDATE(DATE(YEAR(TODAY()),7,1),1))</f>
        <v>0</v>
      </c>
      <c r="C20" s="8">
        <f>SUMIFS('Movimentações'!$E:$E,'Movimentações'!$B:$B,"Saída",'Movimentações'!$A:$A,"&gt;="&amp;DATE(YEAR(TODAY()),7,1),'Movimentações'!$A:$A,"&lt;"&amp;EDATE(DATE(YEAR(TODAY()),7,1),1))</f>
        <v>0</v>
      </c>
    </row>
    <row r="21" ht="15.75" customHeight="1">
      <c r="A21" s="8" t="s">
        <v>117</v>
      </c>
      <c r="B21" s="8">
        <f>SUMIFS('Movimentações'!$E:$E,'Movimentações'!$B:$B,"Entrada",'Movimentações'!$A:$A,"&gt;="&amp;DATE(YEAR(TODAY()),8,1),'Movimentações'!$A:$A,"&lt;"&amp;EDATE(DATE(YEAR(TODAY()),8,1),1))</f>
        <v>0</v>
      </c>
      <c r="C21" s="8">
        <f>SUMIFS('Movimentações'!$E:$E,'Movimentações'!$B:$B,"Saída",'Movimentações'!$A:$A,"&gt;="&amp;DATE(YEAR(TODAY()),8,1),'Movimentações'!$A:$A,"&lt;"&amp;EDATE(DATE(YEAR(TODAY()),8,1),1))</f>
        <v>10</v>
      </c>
    </row>
    <row r="22" ht="15.75" customHeight="1">
      <c r="A22" s="8" t="s">
        <v>122</v>
      </c>
      <c r="B22" s="8">
        <f>SUMIFS('Movimentações'!$E:$E,'Movimentações'!$B:$B,"Entrada",'Movimentações'!$A:$A,"&gt;="&amp;DATE(YEAR(TODAY()),9,1),'Movimentações'!$A:$A,"&lt;"&amp;EDATE(DATE(YEAR(TODAY()),9,1),1))</f>
        <v>0</v>
      </c>
      <c r="C22" s="8">
        <f>SUMIFS('Movimentações'!$E:$E,'Movimentações'!$B:$B,"Saída",'Movimentações'!$A:$A,"&gt;="&amp;DATE(YEAR(TODAY()),9,1),'Movimentações'!$A:$A,"&lt;"&amp;EDATE(DATE(YEAR(TODAY()),9,1),1))</f>
        <v>0</v>
      </c>
    </row>
    <row r="23" ht="15.75" customHeight="1">
      <c r="A23" s="8" t="s">
        <v>128</v>
      </c>
      <c r="B23" s="8">
        <f>SUMIFS('Movimentações'!$E:$E,'Movimentações'!$B:$B,"Entrada",'Movimentações'!$A:$A,"&gt;="&amp;DATE(YEAR(TODAY()),10,1),'Movimentações'!$A:$A,"&lt;"&amp;EDATE(DATE(YEAR(TODAY()),10,1),1))</f>
        <v>0</v>
      </c>
      <c r="C23" s="8">
        <f>SUMIFS('Movimentações'!$E:$E,'Movimentações'!$B:$B,"Saída",'Movimentações'!$A:$A,"&gt;="&amp;DATE(YEAR(TODAY()),10,1),'Movimentações'!$A:$A,"&lt;"&amp;EDATE(DATE(YEAR(TODAY()),10,1),1))</f>
        <v>0</v>
      </c>
    </row>
    <row r="24" ht="15.75" customHeight="1">
      <c r="A24" s="8" t="s">
        <v>133</v>
      </c>
      <c r="B24" s="8">
        <f>SUMIFS('Movimentações'!$E:$E,'Movimentações'!$B:$B,"Entrada",'Movimentações'!$A:$A,"&gt;="&amp;DATE(YEAR(TODAY()),11,1),'Movimentações'!$A:$A,"&lt;"&amp;EDATE(DATE(YEAR(TODAY()),11,1),1))</f>
        <v>0</v>
      </c>
      <c r="C24" s="8">
        <f>SUMIFS('Movimentações'!$E:$E,'Movimentações'!$B:$B,"Saída",'Movimentações'!$A:$A,"&gt;="&amp;DATE(YEAR(TODAY()),11,1),'Movimentações'!$A:$A,"&lt;"&amp;EDATE(DATE(YEAR(TODAY()),11,1),1))</f>
        <v>0</v>
      </c>
    </row>
    <row r="25" ht="15.75" customHeight="1">
      <c r="A25" s="8" t="s">
        <v>138</v>
      </c>
      <c r="B25" s="8">
        <f>SUMIFS('Movimentações'!$E:$E,'Movimentações'!$B:$B,"Entrada",'Movimentações'!$A:$A,"&gt;="&amp;DATE(YEAR(TODAY()),12,1),'Movimentações'!$A:$A,"&lt;"&amp;EDATE(DATE(YEAR(TODAY()),12,1),1))</f>
        <v>0</v>
      </c>
      <c r="C25" s="8">
        <f>SUMIFS('Movimentações'!$E:$E,'Movimentações'!$B:$B,"Saída",'Movimentações'!$A:$A,"&gt;="&amp;DATE(YEAR(TODAY()),12,1),'Movimentações'!$A:$A,"&lt;"&amp;EDATE(DATE(YEAR(TODAY()),12,1),1))</f>
        <v>0</v>
      </c>
    </row>
    <row r="26" ht="15.75" customHeight="1"/>
    <row r="27" ht="15.75" customHeight="1"/>
    <row r="28" ht="15.75" customHeight="1">
      <c r="A28" s="24" t="s">
        <v>146</v>
      </c>
    </row>
    <row r="29" ht="15.75" customHeight="1">
      <c r="A29" s="20" t="s">
        <v>0</v>
      </c>
      <c r="B29" s="20" t="s">
        <v>7</v>
      </c>
      <c r="C29" s="20" t="s">
        <v>8</v>
      </c>
      <c r="D29" s="20" t="s">
        <v>148</v>
      </c>
      <c r="E29" s="20" t="s">
        <v>14</v>
      </c>
    </row>
    <row r="30" ht="15.75" customHeight="1">
      <c r="A30" s="5" t="str">
        <f>IFERROR(__xludf.DUMMYFUNCTION("IFERROR(FILTER({Estoque!A2:A501,Estoque!B2:B501,Estoque!E2:E501,Estoque!F2:F501,Estoque!G2:G501},(Estoque!G2:G501=""🔴 REPOR"")+(Estoque!G2:G501=""🟡 ATENÇÃO"")),""Nenhum item para reposição"")"),"01-003")</f>
        <v>01-003</v>
      </c>
      <c r="B30" s="5" t="str">
        <f>IFERROR(__xludf.DUMMYFUNCTION("""COMPUTED_VALUE"""),"Ácido Fosfórico 37%")</f>
        <v>Ácido Fosfórico 37%</v>
      </c>
      <c r="C30" s="5">
        <f>IFERROR(__xludf.DUMMYFUNCTION("""COMPUTED_VALUE"""),0.0)</f>
        <v>0</v>
      </c>
      <c r="D30" s="5">
        <f>IFERROR(__xludf.DUMMYFUNCTION("""COMPUTED_VALUE"""),8.0)</f>
        <v>8</v>
      </c>
      <c r="E30" s="5" t="str">
        <f>IFERROR(__xludf.DUMMYFUNCTION("""COMPUTED_VALUE"""),"🔴 REPOR")</f>
        <v>🔴 REPOR</v>
      </c>
    </row>
    <row r="31" ht="15.75" customHeight="1">
      <c r="A31" s="5" t="str">
        <f>IFERROR(__xludf.DUMMYFUNCTION("""COMPUTED_VALUE"""),"01-004")</f>
        <v>01-004</v>
      </c>
      <c r="B31" s="5" t="str">
        <f>IFERROR(__xludf.DUMMYFUNCTION("""COMPUTED_VALUE"""),"Ionômero de Vidro")</f>
        <v>Ionômero de Vidro</v>
      </c>
      <c r="C31" s="5">
        <f>IFERROR(__xludf.DUMMYFUNCTION("""COMPUTED_VALUE"""),3.0)</f>
        <v>3</v>
      </c>
      <c r="D31" s="5">
        <f>IFERROR(__xludf.DUMMYFUNCTION("""COMPUTED_VALUE"""),4.0)</f>
        <v>4</v>
      </c>
      <c r="E31" s="5" t="str">
        <f>IFERROR(__xludf.DUMMYFUNCTION("""COMPUTED_VALUE"""),"🔴 REPOR")</f>
        <v>🔴 REPOR</v>
      </c>
    </row>
    <row r="32" ht="15.75" customHeight="1">
      <c r="A32" s="5" t="str">
        <f>IFERROR(__xludf.DUMMYFUNCTION("""COMPUTED_VALUE"""),"01-006")</f>
        <v>01-006</v>
      </c>
      <c r="B32" s="5" t="str">
        <f>IFERROR(__xludf.DUMMYFUNCTION("""COMPUTED_VALUE"""),"Cimento reparador MTA (2 aplicações)")</f>
        <v>Cimento reparador MTA (2 aplicações)</v>
      </c>
      <c r="C32" s="5">
        <f>IFERROR(__xludf.DUMMYFUNCTION("""COMPUTED_VALUE"""),2.0)</f>
        <v>2</v>
      </c>
      <c r="D32" s="5">
        <f>IFERROR(__xludf.DUMMYFUNCTION("""COMPUTED_VALUE"""),2.0)</f>
        <v>2</v>
      </c>
      <c r="E32" s="5" t="str">
        <f>IFERROR(__xludf.DUMMYFUNCTION("""COMPUTED_VALUE"""),"🟡 ATENÇÃO")</f>
        <v>🟡 ATENÇÃO</v>
      </c>
    </row>
    <row r="33" ht="15.75" customHeight="1">
      <c r="A33" s="5" t="str">
        <f>IFERROR(__xludf.DUMMYFUNCTION("""COMPUTED_VALUE"""),"01-010")</f>
        <v>01-010</v>
      </c>
      <c r="B33" s="5" t="str">
        <f>IFERROR(__xludf.DUMMYFUNCTION("""COMPUTED_VALUE"""),"Inter-A (material restaurador intermediário)")</f>
        <v>Inter-A (material restaurador intermediário)</v>
      </c>
      <c r="C33" s="5">
        <f>IFERROR(__xludf.DUMMYFUNCTION("""COMPUTED_VALUE"""),1.0)</f>
        <v>1</v>
      </c>
      <c r="D33" s="5">
        <f>IFERROR(__xludf.DUMMYFUNCTION("""COMPUTED_VALUE"""),2.0)</f>
        <v>2</v>
      </c>
      <c r="E33" s="5" t="str">
        <f>IFERROR(__xludf.DUMMYFUNCTION("""COMPUTED_VALUE"""),"🔴 REPOR")</f>
        <v>🔴 REPOR</v>
      </c>
    </row>
    <row r="34" ht="15.75" customHeight="1">
      <c r="A34" s="5" t="str">
        <f>IFERROR(__xludf.DUMMYFUNCTION("""COMPUTED_VALUE"""),"01-011")</f>
        <v>01-011</v>
      </c>
      <c r="B34" s="5" t="str">
        <f>IFERROR(__xludf.DUMMYFUNCTION("""COMPUTED_VALUE"""),"Coroa Hable adulto")</f>
        <v>Coroa Hable adulto</v>
      </c>
      <c r="C34" s="5">
        <f>IFERROR(__xludf.DUMMYFUNCTION("""COMPUTED_VALUE"""),1.0)</f>
        <v>1</v>
      </c>
      <c r="D34" s="5">
        <f>IFERROR(__xludf.DUMMYFUNCTION("""COMPUTED_VALUE"""),1.0)</f>
        <v>1</v>
      </c>
      <c r="E34" s="5" t="str">
        <f>IFERROR(__xludf.DUMMYFUNCTION("""COMPUTED_VALUE"""),"🟡 ATENÇÃO")</f>
        <v>🟡 ATENÇÃO</v>
      </c>
    </row>
    <row r="35" ht="15.75" customHeight="1">
      <c r="A35" s="5" t="str">
        <f>IFERROR(__xludf.DUMMYFUNCTION("""COMPUTED_VALUE"""),"01-012")</f>
        <v>01-012</v>
      </c>
      <c r="B35" s="5" t="str">
        <f>IFERROR(__xludf.DUMMYFUNCTION("""COMPUTED_VALUE"""),"Coroa Hable pediátrica")</f>
        <v>Coroa Hable pediátrica</v>
      </c>
      <c r="C35" s="5">
        <f>IFERROR(__xludf.DUMMYFUNCTION("""COMPUTED_VALUE"""),1.0)</f>
        <v>1</v>
      </c>
      <c r="D35" s="5">
        <f>IFERROR(__xludf.DUMMYFUNCTION("""COMPUTED_VALUE"""),1.0)</f>
        <v>1</v>
      </c>
      <c r="E35" s="5" t="str">
        <f>IFERROR(__xludf.DUMMYFUNCTION("""COMPUTED_VALUE"""),"🟡 ATENÇÃO")</f>
        <v>🟡 ATENÇÃO</v>
      </c>
    </row>
    <row r="36" ht="15.75" customHeight="1">
      <c r="A36" s="5" t="str">
        <f>IFERROR(__xludf.DUMMYFUNCTION("""COMPUTED_VALUE"""),"01-014")</f>
        <v>01-014</v>
      </c>
      <c r="B36" s="5" t="str">
        <f>IFERROR(__xludf.DUMMYFUNCTION("""COMPUTED_VALUE"""),"Resina composta A2E")</f>
        <v>Resina composta A2E</v>
      </c>
      <c r="C36" s="5">
        <f>IFERROR(__xludf.DUMMYFUNCTION("""COMPUTED_VALUE"""),2.0)</f>
        <v>2</v>
      </c>
      <c r="D36" s="5">
        <f>IFERROR(__xludf.DUMMYFUNCTION("""COMPUTED_VALUE"""),2.0)</f>
        <v>2</v>
      </c>
      <c r="E36" s="5" t="str">
        <f>IFERROR(__xludf.DUMMYFUNCTION("""COMPUTED_VALUE"""),"🟡 ATENÇÃO")</f>
        <v>🟡 ATENÇÃO</v>
      </c>
    </row>
    <row r="37" ht="15.75" customHeight="1">
      <c r="A37" s="5" t="str">
        <f>IFERROR(__xludf.DUMMYFUNCTION("""COMPUTED_VALUE"""),"01-015")</f>
        <v>01-015</v>
      </c>
      <c r="B37" s="5" t="str">
        <f>IFERROR(__xludf.DUMMYFUNCTION("""COMPUTED_VALUE"""),"Resina composta A3E")</f>
        <v>Resina composta A3E</v>
      </c>
      <c r="C37" s="5">
        <f>IFERROR(__xludf.DUMMYFUNCTION("""COMPUTED_VALUE"""),1.0)</f>
        <v>1</v>
      </c>
      <c r="D37" s="5">
        <f>IFERROR(__xludf.DUMMYFUNCTION("""COMPUTED_VALUE"""),4.0)</f>
        <v>4</v>
      </c>
      <c r="E37" s="5" t="str">
        <f>IFERROR(__xludf.DUMMYFUNCTION("""COMPUTED_VALUE"""),"🔴 REPOR")</f>
        <v>🔴 REPOR</v>
      </c>
    </row>
    <row r="38" ht="15.75" customHeight="1">
      <c r="A38" s="5" t="str">
        <f>IFERROR(__xludf.DUMMYFUNCTION("""COMPUTED_VALUE"""),"01-016")</f>
        <v>01-016</v>
      </c>
      <c r="B38" s="5" t="str">
        <f>IFERROR(__xludf.DUMMYFUNCTION("""COMPUTED_VALUE"""),"Resina composta A1B")</f>
        <v>Resina composta A1B</v>
      </c>
      <c r="C38" s="5">
        <f>IFERROR(__xludf.DUMMYFUNCTION("""COMPUTED_VALUE"""),1.0)</f>
        <v>1</v>
      </c>
      <c r="D38" s="5">
        <f>IFERROR(__xludf.DUMMYFUNCTION("""COMPUTED_VALUE"""),1.0)</f>
        <v>1</v>
      </c>
      <c r="E38" s="5" t="str">
        <f>IFERROR(__xludf.DUMMYFUNCTION("""COMPUTED_VALUE"""),"🟡 ATENÇÃO")</f>
        <v>🟡 ATENÇÃO</v>
      </c>
    </row>
    <row r="39" ht="15.75" customHeight="1">
      <c r="A39" s="5" t="str">
        <f>IFERROR(__xludf.DUMMYFUNCTION("""COMPUTED_VALUE"""),"01-017")</f>
        <v>01-017</v>
      </c>
      <c r="B39" s="5" t="str">
        <f>IFERROR(__xludf.DUMMYFUNCTION("""COMPUTED_VALUE"""),"Resina composta A2B")</f>
        <v>Resina composta A2B</v>
      </c>
      <c r="C39" s="5">
        <f>IFERROR(__xludf.DUMMYFUNCTION("""COMPUTED_VALUE"""),0.0)</f>
        <v>0</v>
      </c>
      <c r="D39" s="5">
        <f>IFERROR(__xludf.DUMMYFUNCTION("""COMPUTED_VALUE"""),2.0)</f>
        <v>2</v>
      </c>
      <c r="E39" s="5" t="str">
        <f>IFERROR(__xludf.DUMMYFUNCTION("""COMPUTED_VALUE"""),"🔴 REPOR")</f>
        <v>🔴 REPOR</v>
      </c>
    </row>
    <row r="40" ht="15.75" customHeight="1">
      <c r="A40" s="5" t="str">
        <f>IFERROR(__xludf.DUMMYFUNCTION("""COMPUTED_VALUE"""),"01-018")</f>
        <v>01-018</v>
      </c>
      <c r="B40" s="5" t="str">
        <f>IFERROR(__xludf.DUMMYFUNCTION("""COMPUTED_VALUE"""),"Resina composta A3B")</f>
        <v>Resina composta A3B</v>
      </c>
      <c r="C40" s="5">
        <f>IFERROR(__xludf.DUMMYFUNCTION("""COMPUTED_VALUE"""),0.0)</f>
        <v>0</v>
      </c>
      <c r="D40" s="5">
        <f>IFERROR(__xludf.DUMMYFUNCTION("""COMPUTED_VALUE"""),4.0)</f>
        <v>4</v>
      </c>
      <c r="E40" s="5" t="str">
        <f>IFERROR(__xludf.DUMMYFUNCTION("""COMPUTED_VALUE"""),"🔴 REPOR")</f>
        <v>🔴 REPOR</v>
      </c>
    </row>
    <row r="41" ht="15.75" customHeight="1">
      <c r="A41" s="5" t="str">
        <f>IFERROR(__xludf.DUMMYFUNCTION("""COMPUTED_VALUE"""),"01-019")</f>
        <v>01-019</v>
      </c>
      <c r="B41" s="5" t="str">
        <f>IFERROR(__xludf.DUMMYFUNCTION("""COMPUTED_VALUE"""),"Resina composta A3.5B")</f>
        <v>Resina composta A3.5B</v>
      </c>
      <c r="C41" s="5">
        <f>IFERROR(__xludf.DUMMYFUNCTION("""COMPUTED_VALUE"""),0.0)</f>
        <v>0</v>
      </c>
      <c r="D41" s="5">
        <f>IFERROR(__xludf.DUMMYFUNCTION("""COMPUTED_VALUE"""),4.0)</f>
        <v>4</v>
      </c>
      <c r="E41" s="5" t="str">
        <f>IFERROR(__xludf.DUMMYFUNCTION("""COMPUTED_VALUE"""),"🔴 REPOR")</f>
        <v>🔴 REPOR</v>
      </c>
    </row>
    <row r="42" ht="15.75" customHeight="1">
      <c r="A42" s="5" t="str">
        <f>IFERROR(__xludf.DUMMYFUNCTION("""COMPUTED_VALUE"""),"01-020")</f>
        <v>01-020</v>
      </c>
      <c r="B42" s="5" t="str">
        <f>IFERROR(__xludf.DUMMYFUNCTION("""COMPUTED_VALUE"""),"Forrador Dentinário Liner")</f>
        <v>Forrador Dentinário Liner</v>
      </c>
      <c r="C42" s="5">
        <f>IFERROR(__xludf.DUMMYFUNCTION("""COMPUTED_VALUE"""),0.0)</f>
        <v>0</v>
      </c>
      <c r="D42" s="5">
        <f>IFERROR(__xludf.DUMMYFUNCTION("""COMPUTED_VALUE"""),2.0)</f>
        <v>2</v>
      </c>
      <c r="E42" s="5" t="str">
        <f>IFERROR(__xludf.DUMMYFUNCTION("""COMPUTED_VALUE"""),"🔴 REPOR")</f>
        <v>🔴 REPOR</v>
      </c>
    </row>
    <row r="43" ht="15.75" customHeight="1">
      <c r="A43" s="5" t="str">
        <f>IFERROR(__xludf.DUMMYFUNCTION("""COMPUTED_VALUE"""),"01-022")</f>
        <v>01-022</v>
      </c>
      <c r="B43" s="5" t="str">
        <f>IFERROR(__xludf.DUMMYFUNCTION("""COMPUTED_VALUE"""),"Disco de lixa M com mandril")</f>
        <v>Disco de lixa M com mandril</v>
      </c>
      <c r="C43" s="5">
        <f>IFERROR(__xludf.DUMMYFUNCTION("""COMPUTED_VALUE"""),1.0)</f>
        <v>1</v>
      </c>
      <c r="D43" s="5">
        <f>IFERROR(__xludf.DUMMYFUNCTION("""COMPUTED_VALUE"""),2.0)</f>
        <v>2</v>
      </c>
      <c r="E43" s="5" t="str">
        <f>IFERROR(__xludf.DUMMYFUNCTION("""COMPUTED_VALUE"""),"🔴 REPOR")</f>
        <v>🔴 REPOR</v>
      </c>
    </row>
    <row r="44" ht="15.75" customHeight="1">
      <c r="A44" s="5" t="str">
        <f>IFERROR(__xludf.DUMMYFUNCTION("""COMPUTED_VALUE"""),"01-023")</f>
        <v>01-023</v>
      </c>
      <c r="B44" s="5" t="str">
        <f>IFERROR(__xludf.DUMMYFUNCTION("""COMPUTED_VALUE"""),"Bloco de papel p/ espatulação")</f>
        <v>Bloco de papel p/ espatulação</v>
      </c>
      <c r="C44" s="5">
        <f>IFERROR(__xludf.DUMMYFUNCTION("""COMPUTED_VALUE"""),3.0)</f>
        <v>3</v>
      </c>
      <c r="D44" s="5">
        <f>IFERROR(__xludf.DUMMYFUNCTION("""COMPUTED_VALUE"""),4.0)</f>
        <v>4</v>
      </c>
      <c r="E44" s="5" t="str">
        <f>IFERROR(__xludf.DUMMYFUNCTION("""COMPUTED_VALUE"""),"🔴 REPOR")</f>
        <v>🔴 REPOR</v>
      </c>
    </row>
    <row r="45" ht="15.75" customHeight="1">
      <c r="A45" s="5" t="str">
        <f>IFERROR(__xludf.DUMMYFUNCTION("""COMPUTED_VALUE"""),"01-024")</f>
        <v>01-024</v>
      </c>
      <c r="B45" s="5" t="str">
        <f>IFERROR(__xludf.DUMMYFUNCTION("""COMPUTED_VALUE"""),"Arco Young plástico")</f>
        <v>Arco Young plástico</v>
      </c>
      <c r="C45" s="5">
        <f>IFERROR(__xludf.DUMMYFUNCTION("""COMPUTED_VALUE"""),2.0)</f>
        <v>2</v>
      </c>
      <c r="D45" s="5">
        <f>IFERROR(__xludf.DUMMYFUNCTION("""COMPUTED_VALUE"""),2.0)</f>
        <v>2</v>
      </c>
      <c r="E45" s="5" t="str">
        <f>IFERROR(__xludf.DUMMYFUNCTION("""COMPUTED_VALUE"""),"🟡 ATENÇÃO")</f>
        <v>🟡 ATENÇÃO</v>
      </c>
    </row>
    <row r="46" ht="15.75" customHeight="1">
      <c r="A46" s="5" t="str">
        <f>IFERROR(__xludf.DUMMYFUNCTION("""COMPUTED_VALUE"""),"01-027")</f>
        <v>01-027</v>
      </c>
      <c r="B46" s="5" t="str">
        <f>IFERROR(__xludf.DUMMYFUNCTION("""COMPUTED_VALUE"""),"Disco de lixa grosso s/ mandril")</f>
        <v>Disco de lixa grosso s/ mandril</v>
      </c>
      <c r="C46" s="5">
        <f>IFERROR(__xludf.DUMMYFUNCTION("""COMPUTED_VALUE"""),4.0)</f>
        <v>4</v>
      </c>
      <c r="D46" s="5">
        <f>IFERROR(__xludf.DUMMYFUNCTION("""COMPUTED_VALUE"""),4.0)</f>
        <v>4</v>
      </c>
      <c r="E46" s="5" t="str">
        <f>IFERROR(__xludf.DUMMYFUNCTION("""COMPUTED_VALUE"""),"🟡 ATENÇÃO")</f>
        <v>🟡 ATENÇÃO</v>
      </c>
    </row>
    <row r="47" ht="15.75" customHeight="1">
      <c r="A47" s="5" t="str">
        <f>IFERROR(__xludf.DUMMYFUNCTION("""COMPUTED_VALUE"""),"01-032")</f>
        <v>01-032</v>
      </c>
      <c r="B47" s="5" t="str">
        <f>IFERROR(__xludf.DUMMYFUNCTION("""COMPUTED_VALUE"""),"Fio retrator")</f>
        <v>Fio retrator</v>
      </c>
      <c r="C47" s="5">
        <f>IFERROR(__xludf.DUMMYFUNCTION("""COMPUTED_VALUE"""),2.0)</f>
        <v>2</v>
      </c>
      <c r="D47" s="5">
        <f>IFERROR(__xludf.DUMMYFUNCTION("""COMPUTED_VALUE"""),2.0)</f>
        <v>2</v>
      </c>
      <c r="E47" s="5" t="str">
        <f>IFERROR(__xludf.DUMMYFUNCTION("""COMPUTED_VALUE"""),"🟡 ATENÇÃO")</f>
        <v>🟡 ATENÇÃO</v>
      </c>
    </row>
    <row r="48" ht="15.75" customHeight="1">
      <c r="A48" s="5" t="str">
        <f>IFERROR(__xludf.DUMMYFUNCTION("""COMPUTED_VALUE"""),"02-001")</f>
        <v>02-001</v>
      </c>
      <c r="B48" s="5" t="str">
        <f>IFERROR(__xludf.DUMMYFUNCTION("""COMPUTED_VALUE"""),"Esponja Hemostática")</f>
        <v>Esponja Hemostática</v>
      </c>
      <c r="C48" s="5">
        <f>IFERROR(__xludf.DUMMYFUNCTION("""COMPUTED_VALUE"""),1.0)</f>
        <v>1</v>
      </c>
      <c r="D48" s="5">
        <f>IFERROR(__xludf.DUMMYFUNCTION("""COMPUTED_VALUE"""),2.0)</f>
        <v>2</v>
      </c>
      <c r="E48" s="5" t="str">
        <f>IFERROR(__xludf.DUMMYFUNCTION("""COMPUTED_VALUE"""),"🔴 REPOR")</f>
        <v>🔴 REPOR</v>
      </c>
    </row>
    <row r="49" ht="15.75" customHeight="1">
      <c r="A49" s="5" t="str">
        <f>IFERROR(__xludf.DUMMYFUNCTION("""COMPUTED_VALUE"""),"02-002")</f>
        <v>02-002</v>
      </c>
      <c r="B49" s="5" t="str">
        <f>IFERROR(__xludf.DUMMYFUNCTION("""COMPUTED_VALUE"""),"Líquido Hemostático")</f>
        <v>Líquido Hemostático</v>
      </c>
      <c r="C49" s="5">
        <f>IFERROR(__xludf.DUMMYFUNCTION("""COMPUTED_VALUE"""),1.0)</f>
        <v>1</v>
      </c>
      <c r="D49" s="5">
        <f>IFERROR(__xludf.DUMMYFUNCTION("""COMPUTED_VALUE"""),2.0)</f>
        <v>2</v>
      </c>
      <c r="E49" s="5" t="str">
        <f>IFERROR(__xludf.DUMMYFUNCTION("""COMPUTED_VALUE"""),"🔴 REPOR")</f>
        <v>🔴 REPOR</v>
      </c>
    </row>
    <row r="50" ht="15.75" customHeight="1">
      <c r="A50" s="5" t="str">
        <f>IFERROR(__xludf.DUMMYFUNCTION("""COMPUTED_VALUE"""),"02-003")</f>
        <v>02-003</v>
      </c>
      <c r="B50" s="5" t="str">
        <f>IFERROR(__xludf.DUMMYFUNCTION("""COMPUTED_VALUE"""),"Lâmina de bisturi")</f>
        <v>Lâmina de bisturi</v>
      </c>
      <c r="C50" s="5">
        <f>IFERROR(__xludf.DUMMYFUNCTION("""COMPUTED_VALUE"""),2.0)</f>
        <v>2</v>
      </c>
      <c r="D50" s="5">
        <f>IFERROR(__xludf.DUMMYFUNCTION("""COMPUTED_VALUE"""),2.0)</f>
        <v>2</v>
      </c>
      <c r="E50" s="5" t="str">
        <f>IFERROR(__xludf.DUMMYFUNCTION("""COMPUTED_VALUE"""),"🟡 ATENÇÃO")</f>
        <v>🟡 ATENÇÃO</v>
      </c>
    </row>
    <row r="51" ht="15.75" customHeight="1">
      <c r="A51" s="5" t="str">
        <f>IFERROR(__xludf.DUMMYFUNCTION("""COMPUTED_VALUE"""),"04-001")</f>
        <v>04-001</v>
      </c>
      <c r="B51" s="5" t="str">
        <f>IFERROR(__xludf.DUMMYFUNCTION("""COMPUTED_VALUE"""),"NDP")</f>
        <v>NDP</v>
      </c>
      <c r="C51" s="5">
        <f>IFERROR(__xludf.DUMMYFUNCTION("""COMPUTED_VALUE"""),1.0)</f>
        <v>1</v>
      </c>
      <c r="D51" s="5">
        <f>IFERROR(__xludf.DUMMYFUNCTION("""COMPUTED_VALUE"""),2.0)</f>
        <v>2</v>
      </c>
      <c r="E51" s="5" t="str">
        <f>IFERROR(__xludf.DUMMYFUNCTION("""COMPUTED_VALUE"""),"🔴 REPOR")</f>
        <v>🔴 REPOR</v>
      </c>
    </row>
    <row r="52" ht="15.75" customHeight="1">
      <c r="A52" s="5" t="str">
        <f>IFERROR(__xludf.DUMMYFUNCTION("""COMPUTED_VALUE"""),"04-002")</f>
        <v>04-002</v>
      </c>
      <c r="B52" s="5" t="str">
        <f>IFERROR(__xludf.DUMMYFUNCTION("""COMPUTED_VALUE"""),"PRP")</f>
        <v>PRP</v>
      </c>
      <c r="C52" s="5">
        <f>IFERROR(__xludf.DUMMYFUNCTION("""COMPUTED_VALUE"""),0.0)</f>
        <v>0</v>
      </c>
      <c r="D52" s="5">
        <f>IFERROR(__xludf.DUMMYFUNCTION("""COMPUTED_VALUE"""),2.0)</f>
        <v>2</v>
      </c>
      <c r="E52" s="5" t="str">
        <f>IFERROR(__xludf.DUMMYFUNCTION("""COMPUTED_VALUE"""),"🔴 REPOR")</f>
        <v>🔴 REPOR</v>
      </c>
    </row>
    <row r="53" ht="15.75" customHeight="1">
      <c r="A53" s="5" t="str">
        <f>IFERROR(__xludf.DUMMYFUNCTION("""COMPUTED_VALUE"""),"04-003")</f>
        <v>04-003</v>
      </c>
      <c r="B53" s="5" t="str">
        <f>IFERROR(__xludf.DUMMYFUNCTION("""COMPUTED_VALUE"""),"Eucaliptol")</f>
        <v>Eucaliptol</v>
      </c>
      <c r="C53" s="5">
        <f>IFERROR(__xludf.DUMMYFUNCTION("""COMPUTED_VALUE"""),1.0)</f>
        <v>1</v>
      </c>
      <c r="D53" s="5">
        <f>IFERROR(__xludf.DUMMYFUNCTION("""COMPUTED_VALUE"""),1.0)</f>
        <v>1</v>
      </c>
      <c r="E53" s="5" t="str">
        <f>IFERROR(__xludf.DUMMYFUNCTION("""COMPUTED_VALUE"""),"🟡 ATENÇÃO")</f>
        <v>🟡 ATENÇÃO</v>
      </c>
    </row>
    <row r="54" ht="15.75" customHeight="1">
      <c r="A54" s="5" t="str">
        <f>IFERROR(__xludf.DUMMYFUNCTION("""COMPUTED_VALUE"""),"04-005")</f>
        <v>04-005</v>
      </c>
      <c r="B54" s="5" t="str">
        <f>IFERROR(__xludf.DUMMYFUNCTION("""COMPUTED_VALUE"""),"Formocresol")</f>
        <v>Formocresol</v>
      </c>
      <c r="C54" s="5">
        <f>IFERROR(__xludf.DUMMYFUNCTION("""COMPUTED_VALUE"""),0.0)</f>
        <v>0</v>
      </c>
      <c r="D54" s="5">
        <f>IFERROR(__xludf.DUMMYFUNCTION("""COMPUTED_VALUE"""),2.0)</f>
        <v>2</v>
      </c>
      <c r="E54" s="5" t="str">
        <f>IFERROR(__xludf.DUMMYFUNCTION("""COMPUTED_VALUE"""),"🔴 REPOR")</f>
        <v>🔴 REPOR</v>
      </c>
    </row>
    <row r="55" ht="15.75" customHeight="1">
      <c r="A55" s="5" t="str">
        <f>IFERROR(__xludf.DUMMYFUNCTION("""COMPUTED_VALUE"""),"04-011")</f>
        <v>04-011</v>
      </c>
      <c r="B55" s="5" t="str">
        <f>IFERROR(__xludf.DUMMYFUNCTION("""COMPUTED_VALUE"""),"Cone de papel absorvente 35")</f>
        <v>Cone de papel absorvente 35</v>
      </c>
      <c r="C55" s="5">
        <f>IFERROR(__xludf.DUMMYFUNCTION("""COMPUTED_VALUE"""),1.0)</f>
        <v>1</v>
      </c>
      <c r="D55" s="5">
        <f>IFERROR(__xludf.DUMMYFUNCTION("""COMPUTED_VALUE"""),2.0)</f>
        <v>2</v>
      </c>
      <c r="E55" s="5" t="str">
        <f>IFERROR(__xludf.DUMMYFUNCTION("""COMPUTED_VALUE"""),"🔴 REPOR")</f>
        <v>🔴 REPOR</v>
      </c>
    </row>
    <row r="56" ht="15.75" customHeight="1">
      <c r="A56" s="5" t="str">
        <f>IFERROR(__xludf.DUMMYFUNCTION("""COMPUTED_VALUE"""),"05-015")</f>
        <v>05-015</v>
      </c>
      <c r="B56" s="5" t="str">
        <f>IFERROR(__xludf.DUMMYFUNCTION("""COMPUTED_VALUE"""),"Papel grau cirúrgico 150 mm")</f>
        <v>Papel grau cirúrgico 150 mm</v>
      </c>
      <c r="C56" s="5">
        <f>IFERROR(__xludf.DUMMYFUNCTION("""COMPUTED_VALUE"""),0.0)</f>
        <v>0</v>
      </c>
      <c r="D56" s="5">
        <f>IFERROR(__xludf.DUMMYFUNCTION("""COMPUTED_VALUE"""),2.0)</f>
        <v>2</v>
      </c>
      <c r="E56" s="5" t="str">
        <f>IFERROR(__xludf.DUMMYFUNCTION("""COMPUTED_VALUE"""),"🔴 REPOR")</f>
        <v>🔴 REPOR</v>
      </c>
    </row>
    <row r="57" ht="15.75" customHeight="1">
      <c r="A57" s="5" t="str">
        <f>IFERROR(__xludf.DUMMYFUNCTION("""COMPUTED_VALUE"""),"05-016")</f>
        <v>05-016</v>
      </c>
      <c r="B57" s="5" t="str">
        <f>IFERROR(__xludf.DUMMYFUNCTION("""COMPUTED_VALUE"""),"Papel grau cirúrgico 200 mm")</f>
        <v>Papel grau cirúrgico 200 mm</v>
      </c>
      <c r="C57" s="5">
        <f>IFERROR(__xludf.DUMMYFUNCTION("""COMPUTED_VALUE"""),1.0)</f>
        <v>1</v>
      </c>
      <c r="D57" s="5">
        <f>IFERROR(__xludf.DUMMYFUNCTION("""COMPUTED_VALUE"""),1.0)</f>
        <v>1</v>
      </c>
      <c r="E57" s="5" t="str">
        <f>IFERROR(__xludf.DUMMYFUNCTION("""COMPUTED_VALUE"""),"🟡 ATENÇÃO")</f>
        <v>🟡 ATENÇÃO</v>
      </c>
    </row>
    <row r="58" ht="15.75" customHeight="1">
      <c r="A58" s="5" t="str">
        <f>IFERROR(__xludf.DUMMYFUNCTION("""COMPUTED_VALUE"""),"05-018")</f>
        <v>05-018</v>
      </c>
      <c r="B58" s="5" t="str">
        <f>IFERROR(__xludf.DUMMYFUNCTION("""COMPUTED_VALUE"""),"Revelador")</f>
        <v>Revelador</v>
      </c>
      <c r="C58" s="5">
        <f>IFERROR(__xludf.DUMMYFUNCTION("""COMPUTED_VALUE"""),6.0)</f>
        <v>6</v>
      </c>
      <c r="D58" s="5">
        <f>IFERROR(__xludf.DUMMYFUNCTION("""COMPUTED_VALUE"""),6.0)</f>
        <v>6</v>
      </c>
      <c r="E58" s="5" t="str">
        <f>IFERROR(__xludf.DUMMYFUNCTION("""COMPUTED_VALUE"""),"🟡 ATENÇÃO")</f>
        <v>🟡 ATENÇÃO</v>
      </c>
    </row>
    <row r="59" ht="15.75" customHeight="1">
      <c r="A59" s="5" t="str">
        <f>IFERROR(__xludf.DUMMYFUNCTION("""COMPUTED_VALUE"""),"05-022")</f>
        <v>05-022</v>
      </c>
      <c r="B59" s="5" t="str">
        <f>IFERROR(__xludf.DUMMYFUNCTION("""COMPUTED_VALUE"""),"Hipoclorito de sódio 2,5%")</f>
        <v>Hipoclorito de sódio 2,5%</v>
      </c>
      <c r="C59" s="5">
        <f>IFERROR(__xludf.DUMMYFUNCTION("""COMPUTED_VALUE"""),3.0)</f>
        <v>3</v>
      </c>
      <c r="D59" s="5">
        <f>IFERROR(__xludf.DUMMYFUNCTION("""COMPUTED_VALUE"""),4.0)</f>
        <v>4</v>
      </c>
      <c r="E59" s="5" t="str">
        <f>IFERROR(__xludf.DUMMYFUNCTION("""COMPUTED_VALUE"""),"🔴 REPOR")</f>
        <v>🔴 REPOR</v>
      </c>
    </row>
    <row r="60" ht="15.75" customHeight="1">
      <c r="A60" s="5" t="str">
        <f>IFERROR(__xludf.DUMMYFUNCTION("""COMPUTED_VALUE"""),"05-029")</f>
        <v>05-029</v>
      </c>
      <c r="B60" s="5" t="str">
        <f>IFERROR(__xludf.DUMMYFUNCTION("""COMPUTED_VALUE"""),"Clorexidina 2% (lavar mãos)")</f>
        <v>Clorexidina 2% (lavar mãos)</v>
      </c>
      <c r="C60" s="5">
        <f>IFERROR(__xludf.DUMMYFUNCTION("""COMPUTED_VALUE"""),1.0)</f>
        <v>1</v>
      </c>
      <c r="D60" s="5">
        <f>IFERROR(__xludf.DUMMYFUNCTION("""COMPUTED_VALUE"""),2.0)</f>
        <v>2</v>
      </c>
      <c r="E60" s="5" t="str">
        <f>IFERROR(__xludf.DUMMYFUNCTION("""COMPUTED_VALUE"""),"🔴 REPOR")</f>
        <v>🔴 REPOR</v>
      </c>
    </row>
    <row r="61" ht="15.75" customHeight="1">
      <c r="A61" s="5" t="str">
        <f>IFERROR(__xludf.DUMMYFUNCTION("""COMPUTED_VALUE"""),"05-030")</f>
        <v>05-030</v>
      </c>
      <c r="B61" s="5" t="str">
        <f>IFERROR(__xludf.DUMMYFUNCTION("""COMPUTED_VALUE"""),"Anestésico Prilocaína")</f>
        <v>Anestésico Prilocaína</v>
      </c>
      <c r="C61" s="5">
        <f>IFERROR(__xludf.DUMMYFUNCTION("""COMPUTED_VALUE"""),0.0)</f>
        <v>0</v>
      </c>
      <c r="D61" s="5">
        <f>IFERROR(__xludf.DUMMYFUNCTION("""COMPUTED_VALUE"""),2.0)</f>
        <v>2</v>
      </c>
      <c r="E61" s="5" t="str">
        <f>IFERROR(__xludf.DUMMYFUNCTION("""COMPUTED_VALUE"""),"🔴 REPOR")</f>
        <v>🔴 REPOR</v>
      </c>
    </row>
    <row r="62" ht="15.75" customHeight="1">
      <c r="A62" s="5" t="str">
        <f>IFERROR(__xludf.DUMMYFUNCTION("""COMPUTED_VALUE"""),"05-031")</f>
        <v>05-031</v>
      </c>
      <c r="B62" s="5" t="str">
        <f>IFERROR(__xludf.DUMMYFUNCTION("""COMPUTED_VALUE"""),"Anestésico Lidocaína")</f>
        <v>Anestésico Lidocaína</v>
      </c>
      <c r="C62" s="5">
        <f>IFERROR(__xludf.DUMMYFUNCTION("""COMPUTED_VALUE"""),0.0)</f>
        <v>0</v>
      </c>
      <c r="D62" s="5">
        <f>IFERROR(__xludf.DUMMYFUNCTION("""COMPUTED_VALUE"""),2.0)</f>
        <v>2</v>
      </c>
      <c r="E62" s="5" t="str">
        <f>IFERROR(__xludf.DUMMYFUNCTION("""COMPUTED_VALUE"""),"🔴 REPOR")</f>
        <v>🔴 REPOR</v>
      </c>
    </row>
    <row r="63" ht="15.75" customHeight="1">
      <c r="A63" s="5" t="str">
        <f>IFERROR(__xludf.DUMMYFUNCTION("""COMPUTED_VALUE"""),"05-032")</f>
        <v>05-032</v>
      </c>
      <c r="B63" s="5" t="str">
        <f>IFERROR(__xludf.DUMMYFUNCTION("""COMPUTED_VALUE"""),"Anestésico Mepivacaína")</f>
        <v>Anestésico Mepivacaína</v>
      </c>
      <c r="C63" s="5">
        <f>IFERROR(__xludf.DUMMYFUNCTION("""COMPUTED_VALUE"""),0.0)</f>
        <v>0</v>
      </c>
      <c r="D63" s="5">
        <f>IFERROR(__xludf.DUMMYFUNCTION("""COMPUTED_VALUE"""),4.0)</f>
        <v>4</v>
      </c>
      <c r="E63" s="5" t="str">
        <f>IFERROR(__xludf.DUMMYFUNCTION("""COMPUTED_VALUE"""),"🔴 REPOR")</f>
        <v>🔴 REPOR</v>
      </c>
    </row>
    <row r="64" ht="15.75" customHeight="1">
      <c r="A64" s="5" t="str">
        <f>IFERROR(__xludf.DUMMYFUNCTION("""COMPUTED_VALUE"""),"05-033")</f>
        <v>05-033</v>
      </c>
      <c r="B64" s="5" t="str">
        <f>IFERROR(__xludf.DUMMYFUNCTION("""COMPUTED_VALUE"""),"Anestésico Articaína")</f>
        <v>Anestésico Articaína</v>
      </c>
      <c r="C64" s="5">
        <f>IFERROR(__xludf.DUMMYFUNCTION("""COMPUTED_VALUE"""),0.0)</f>
        <v>0</v>
      </c>
      <c r="D64" s="5">
        <f>IFERROR(__xludf.DUMMYFUNCTION("""COMPUTED_VALUE"""),2.0)</f>
        <v>2</v>
      </c>
      <c r="E64" s="5" t="str">
        <f>IFERROR(__xludf.DUMMYFUNCTION("""COMPUTED_VALUE"""),"🔴 REPOR")</f>
        <v>🔴 REPOR</v>
      </c>
    </row>
    <row r="65" ht="15.75" customHeight="1">
      <c r="A65" s="5" t="str">
        <f>IFERROR(__xludf.DUMMYFUNCTION("""COMPUTED_VALUE"""),"05-034")</f>
        <v>05-034</v>
      </c>
      <c r="B65" s="5" t="str">
        <f>IFERROR(__xludf.DUMMYFUNCTION("""COMPUTED_VALUE"""),"Fita adesiva autoclavavél")</f>
        <v>Fita adesiva autoclavavél</v>
      </c>
      <c r="C65" s="5">
        <f>IFERROR(__xludf.DUMMYFUNCTION("""COMPUTED_VALUE"""),0.0)</f>
        <v>0</v>
      </c>
      <c r="D65" s="5">
        <f>IFERROR(__xludf.DUMMYFUNCTION("""COMPUTED_VALUE"""),12.0)</f>
        <v>12</v>
      </c>
      <c r="E65" s="5" t="str">
        <f>IFERROR(__xludf.DUMMYFUNCTION("""COMPUTED_VALUE"""),"🔴 REPOR")</f>
        <v>🔴 REPOR</v>
      </c>
    </row>
    <row r="66" ht="15.75" customHeight="1">
      <c r="A66" s="5" t="str">
        <f>IFERROR(__xludf.DUMMYFUNCTION("""COMPUTED_VALUE"""),"05-035")</f>
        <v>05-035</v>
      </c>
      <c r="B66" s="5" t="str">
        <f>IFERROR(__xludf.DUMMYFUNCTION("""COMPUTED_VALUE"""),"Agulha longa")</f>
        <v>Agulha longa</v>
      </c>
      <c r="C66" s="5">
        <f>IFERROR(__xludf.DUMMYFUNCTION("""COMPUTED_VALUE"""),0.0)</f>
        <v>0</v>
      </c>
      <c r="D66" s="5">
        <f>IFERROR(__xludf.DUMMYFUNCTION("""COMPUTED_VALUE"""),2.0)</f>
        <v>2</v>
      </c>
      <c r="E66" s="5" t="str">
        <f>IFERROR(__xludf.DUMMYFUNCTION("""COMPUTED_VALUE"""),"🔴 REPOR")</f>
        <v>🔴 REPOR</v>
      </c>
    </row>
    <row r="67" ht="15.75" customHeight="1">
      <c r="A67" s="5" t="str">
        <f>IFERROR(__xludf.DUMMYFUNCTION("""COMPUTED_VALUE"""),"06-001")</f>
        <v>06-001</v>
      </c>
      <c r="B67" s="5" t="str">
        <f>IFERROR(__xludf.DUMMYFUNCTION("""COMPUTED_VALUE"""),"Cimento resinoso (prótese) Dual")</f>
        <v>Cimento resinoso (prótese) Dual</v>
      </c>
      <c r="C67" s="5">
        <f>IFERROR(__xludf.DUMMYFUNCTION("""COMPUTED_VALUE"""),1.0)</f>
        <v>1</v>
      </c>
      <c r="D67" s="5">
        <f>IFERROR(__xludf.DUMMYFUNCTION("""COMPUTED_VALUE"""),2.0)</f>
        <v>2</v>
      </c>
      <c r="E67" s="5" t="str">
        <f>IFERROR(__xludf.DUMMYFUNCTION("""COMPUTED_VALUE"""),"🔴 REPOR")</f>
        <v>🔴 REPOR</v>
      </c>
    </row>
    <row r="68" ht="15.75" customHeight="1">
      <c r="A68" s="5" t="str">
        <f>IFERROR(__xludf.DUMMYFUNCTION("""COMPUTED_VALUE"""),"06-003")</f>
        <v>06-003</v>
      </c>
      <c r="B68" s="5" t="str">
        <f>IFERROR(__xludf.DUMMYFUNCTION("""COMPUTED_VALUE"""),"Eugenol")</f>
        <v>Eugenol</v>
      </c>
      <c r="C68" s="5">
        <f>IFERROR(__xludf.DUMMYFUNCTION("""COMPUTED_VALUE"""),0.0)</f>
        <v>0</v>
      </c>
      <c r="D68" s="5">
        <f>IFERROR(__xludf.DUMMYFUNCTION("""COMPUTED_VALUE"""),2.0)</f>
        <v>2</v>
      </c>
      <c r="E68" s="5" t="str">
        <f>IFERROR(__xludf.DUMMYFUNCTION("""COMPUTED_VALUE"""),"🔴 REPOR")</f>
        <v>🔴 REPOR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3:B3"/>
    <mergeCell ref="C3:D3"/>
    <mergeCell ref="E3:F3"/>
    <mergeCell ref="A4:B4"/>
    <mergeCell ref="C4:D4"/>
    <mergeCell ref="E4:F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8.0"/>
    <col customWidth="1" min="3" max="3" width="15.86"/>
    <col customWidth="1" min="4" max="26" width="8.71"/>
  </cols>
  <sheetData>
    <row r="1">
      <c r="A1" s="2" t="s">
        <v>2</v>
      </c>
      <c r="B1" s="2" t="s">
        <v>5</v>
      </c>
      <c r="C1" s="3" t="s">
        <v>11</v>
      </c>
    </row>
    <row r="2">
      <c r="A2" s="5" t="s">
        <v>12</v>
      </c>
      <c r="B2" s="5" t="s">
        <v>5</v>
      </c>
      <c r="C2" s="6" t="s">
        <v>16</v>
      </c>
    </row>
    <row r="3">
      <c r="A3" s="5" t="s">
        <v>15</v>
      </c>
      <c r="B3" s="5" t="s">
        <v>19</v>
      </c>
      <c r="C3" s="6" t="s">
        <v>20</v>
      </c>
    </row>
    <row r="4">
      <c r="B4" s="5" t="s">
        <v>22</v>
      </c>
      <c r="C4" s="6" t="s">
        <v>23</v>
      </c>
    </row>
    <row r="5">
      <c r="B5" s="5" t="s">
        <v>24</v>
      </c>
      <c r="C5" s="6" t="s">
        <v>25</v>
      </c>
    </row>
    <row r="6">
      <c r="B6" s="5" t="s">
        <v>27</v>
      </c>
      <c r="C6" s="6" t="s">
        <v>28</v>
      </c>
    </row>
    <row r="7">
      <c r="B7" s="5" t="s">
        <v>29</v>
      </c>
      <c r="C7" s="6" t="s">
        <v>30</v>
      </c>
    </row>
    <row r="8">
      <c r="B8" s="5" t="s">
        <v>31</v>
      </c>
      <c r="C8" s="6" t="s">
        <v>32</v>
      </c>
    </row>
    <row r="9">
      <c r="B9" s="5" t="s">
        <v>33</v>
      </c>
    </row>
    <row r="10">
      <c r="B10" s="5" t="s">
        <v>34</v>
      </c>
    </row>
    <row r="11">
      <c r="B11" s="5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2026-08-11T17:53:46Z</dcterms:created>
  <dc:creator>openpyxl</dc:creator>
</cp:coreProperties>
</file>